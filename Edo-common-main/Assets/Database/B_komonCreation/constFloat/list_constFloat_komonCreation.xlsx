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B_komonCreation\constFloat\"/>
    </mc:Choice>
  </mc:AlternateContent>
  <xr:revisionPtr revIDLastSave="0" documentId="13_ncr:1_{628299CC-D12B-43CD-999B-3B67CA79C4F5}" xr6:coauthVersionLast="47" xr6:coauthVersionMax="47" xr10:uidLastSave="{00000000-0000-0000-0000-000000000000}"/>
  <bookViews>
    <workbookView xWindow="-23940" yWindow="3465" windowWidth="21585" windowHeight="11295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A59" i="1"/>
  <c r="A58" i="1"/>
  <c r="A34" i="1"/>
  <c r="A35" i="1"/>
  <c r="A36" i="1"/>
  <c r="A37" i="1"/>
  <c r="A33" i="1"/>
  <c r="A32" i="1"/>
  <c r="A27" i="1"/>
  <c r="A28" i="1"/>
  <c r="A29" i="1"/>
  <c r="A30" i="1"/>
  <c r="A31" i="1"/>
  <c r="A26" i="1"/>
  <c r="A25" i="1"/>
  <c r="A24" i="1"/>
  <c r="A23" i="1"/>
  <c r="A22" i="1"/>
  <c r="A21" i="1"/>
  <c r="A20" i="1"/>
  <c r="A19" i="1"/>
  <c r="A18" i="1"/>
  <c r="A17" i="1"/>
  <c r="A12" i="1"/>
  <c r="A13" i="1"/>
  <c r="A14" i="1"/>
  <c r="A15" i="1"/>
  <c r="A16" i="1"/>
  <c r="A7" i="1"/>
  <c r="A8" i="1"/>
  <c r="A9" i="1"/>
  <c r="A10" i="1"/>
  <c r="A11" i="1"/>
  <c r="A53" i="1"/>
  <c r="A54" i="1"/>
  <c r="A55" i="1"/>
  <c r="A56" i="1"/>
  <c r="A57" i="1"/>
  <c r="A48" i="1"/>
  <c r="A49" i="1"/>
  <c r="A50" i="1"/>
  <c r="A51" i="1"/>
  <c r="A52" i="1"/>
  <c r="A43" i="1"/>
  <c r="A44" i="1"/>
  <c r="A45" i="1"/>
  <c r="A46" i="1"/>
  <c r="A47" i="1"/>
  <c r="A39" i="1"/>
  <c r="A40" i="1"/>
  <c r="A41" i="1"/>
  <c r="A42" i="1"/>
  <c r="A38" i="1"/>
  <c r="A6" i="1"/>
  <c r="A4" i="1"/>
  <c r="A3" i="1"/>
  <c r="A5" i="1"/>
  <c r="A2" i="1"/>
</calcChain>
</file>

<file path=xl/sharedStrings.xml><?xml version="1.0" encoding="utf-8"?>
<sst xmlns="http://schemas.openxmlformats.org/spreadsheetml/2006/main" count="64" uniqueCount="64">
  <si>
    <t>num</t>
    <phoneticPr fontId="1"/>
  </si>
  <si>
    <t>意味</t>
    <rPh sb="0" eb="2">
      <t>イミ</t>
    </rPh>
    <phoneticPr fontId="1"/>
  </si>
  <si>
    <t>要素番号</t>
    <rPh sb="0" eb="2">
      <t>ヨウソ</t>
    </rPh>
    <rPh sb="2" eb="4">
      <t>バンゴウ</t>
    </rPh>
    <phoneticPr fontId="1"/>
  </si>
  <si>
    <t>端末傾けによる1秒当たりの投入スピード y (0 &lt;= 染料投入スピード(max)) =</t>
    <rPh sb="0" eb="2">
      <t>タンマツ</t>
    </rPh>
    <rPh sb="2" eb="3">
      <t>カタム</t>
    </rPh>
    <rPh sb="8" eb="10">
      <t>ビョウア</t>
    </rPh>
    <rPh sb="13" eb="15">
      <t>トウニュウ</t>
    </rPh>
    <phoneticPr fontId="1"/>
  </si>
  <si>
    <t xml:space="preserve"> (傾け角度 - 傾けのしきい値) × 傾け角度に乗ずる値</t>
    <phoneticPr fontId="1"/>
  </si>
  <si>
    <t>ボタン押下による、染料投入スピードの加速度 a = 投入スピード(max) / （0g/sから染料投入スピード(max)に達するまでの時間）</t>
    <rPh sb="26" eb="28">
      <t>トウニュウ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</si>
  <si>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職人ランク</t>
    </r>
    <r>
      <rPr>
        <sz val="11"/>
        <color theme="1"/>
        <rFont val="Yu Gothic"/>
        <family val="3"/>
        <charset val="128"/>
        <scheme val="minor"/>
      </rPr>
      <t>の経験値への加算値(D)</t>
    </r>
    <rPh sb="0" eb="2">
      <t>コウテイ</t>
    </rPh>
    <rPh sb="6" eb="7">
      <t>オウ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</si>
  <si>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職人ランク</t>
    </r>
    <r>
      <rPr>
        <sz val="11"/>
        <color theme="1"/>
        <rFont val="Yu Gothic"/>
        <family val="3"/>
        <charset val="128"/>
        <scheme val="minor"/>
      </rPr>
      <t>の経験値への加算値(C)</t>
    </r>
    <rPh sb="0" eb="2">
      <t>コウテイ</t>
    </rPh>
    <rPh sb="6" eb="7">
      <t>オウ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</si>
  <si>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職人ランク</t>
    </r>
    <r>
      <rPr>
        <sz val="11"/>
        <color theme="1"/>
        <rFont val="Yu Gothic"/>
        <family val="3"/>
        <charset val="128"/>
        <scheme val="minor"/>
      </rPr>
      <t>の経験値への加算値(B)</t>
    </r>
    <rPh sb="0" eb="2">
      <t>コウテイ</t>
    </rPh>
    <rPh sb="6" eb="7">
      <t>オウ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</si>
  <si>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職人ランク</t>
    </r>
    <r>
      <rPr>
        <sz val="11"/>
        <color theme="1"/>
        <rFont val="Yu Gothic"/>
        <family val="3"/>
        <charset val="128"/>
        <scheme val="minor"/>
      </rPr>
      <t>の経験値への加算値(A)</t>
    </r>
    <rPh sb="0" eb="2">
      <t>コウテイ</t>
    </rPh>
    <rPh sb="6" eb="7">
      <t>オウ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</si>
  <si>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職人ランク</t>
    </r>
    <r>
      <rPr>
        <sz val="11"/>
        <color theme="1"/>
        <rFont val="Yu Gothic"/>
        <family val="2"/>
        <scheme val="minor"/>
      </rPr>
      <t>の経験値への加算値(S)</t>
    </r>
    <rPh sb="0" eb="2">
      <t>コウテイ</t>
    </rPh>
    <rPh sb="6" eb="7">
      <t>オウ</t>
    </rPh>
    <rPh sb="10" eb="12">
      <t>ショクニン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</si>
  <si>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工程レベル</t>
    </r>
    <r>
      <rPr>
        <sz val="11"/>
        <color theme="1"/>
        <rFont val="Yu Gothic"/>
        <family val="2"/>
        <scheme val="minor"/>
      </rPr>
      <t>の経験値への加算値(S)</t>
    </r>
    <rPh sb="0" eb="2">
      <t>コウテイ</t>
    </rPh>
    <rPh sb="6" eb="7">
      <t>オウ</t>
    </rPh>
    <rPh sb="10" eb="12">
      <t>コウテイ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</si>
  <si>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工程レベル</t>
    </r>
    <r>
      <rPr>
        <sz val="11"/>
        <color theme="1"/>
        <rFont val="Yu Gothic"/>
        <family val="3"/>
        <charset val="128"/>
        <scheme val="minor"/>
      </rPr>
      <t>の経験値への加算値(A)</t>
    </r>
    <rPh sb="0" eb="2">
      <t>コウテイ</t>
    </rPh>
    <rPh sb="6" eb="7">
      <t>オウ</t>
    </rPh>
    <rPh sb="10" eb="12">
      <t>コウテイ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</si>
  <si>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工程レベル</t>
    </r>
    <r>
      <rPr>
        <sz val="11"/>
        <color theme="1"/>
        <rFont val="Yu Gothic"/>
        <family val="3"/>
        <charset val="128"/>
        <scheme val="minor"/>
      </rPr>
      <t>の経験値への加算値(B)</t>
    </r>
    <rPh sb="0" eb="2">
      <t>コウテイ</t>
    </rPh>
    <rPh sb="6" eb="7">
      <t>オウ</t>
    </rPh>
    <rPh sb="10" eb="12">
      <t>コウテイ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</si>
  <si>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工程レベル</t>
    </r>
    <r>
      <rPr>
        <sz val="11"/>
        <color theme="1"/>
        <rFont val="Yu Gothic"/>
        <family val="3"/>
        <charset val="128"/>
        <scheme val="minor"/>
      </rPr>
      <t>の経験値への加算値(C)</t>
    </r>
    <rPh sb="0" eb="2">
      <t>コウテイ</t>
    </rPh>
    <rPh sb="6" eb="7">
      <t>オウ</t>
    </rPh>
    <rPh sb="10" eb="12">
      <t>コウテイ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</si>
  <si>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工程レベル</t>
    </r>
    <r>
      <rPr>
        <sz val="11"/>
        <color theme="1"/>
        <rFont val="Yu Gothic"/>
        <family val="3"/>
        <charset val="128"/>
        <scheme val="minor"/>
      </rPr>
      <t>の経験値への加算値(D)</t>
    </r>
    <rPh sb="0" eb="2">
      <t>コウテイ</t>
    </rPh>
    <rPh sb="6" eb="7">
      <t>オウ</t>
    </rPh>
    <rPh sb="10" eb="12">
      <t>コウテイ</t>
    </rPh>
    <rPh sb="16" eb="19">
      <t>ケイケンチ</t>
    </rPh>
    <rPh sb="21" eb="23">
      <t>カサン</t>
    </rPh>
    <rPh sb="23" eb="24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</si>
  <si>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出来栄えポイント</t>
    </r>
    <r>
      <rPr>
        <sz val="11"/>
        <color theme="1"/>
        <rFont val="Yu Gothic"/>
        <family val="2"/>
        <scheme val="minor"/>
      </rPr>
      <t>の加算値(S)</t>
    </r>
    <rPh sb="0" eb="2">
      <t>コウテイ</t>
    </rPh>
    <rPh sb="6" eb="7">
      <t>オウ</t>
    </rPh>
    <rPh sb="10" eb="13">
      <t>デキバ</t>
    </rPh>
    <rPh sb="19" eb="21">
      <t>カサン</t>
    </rPh>
    <rPh sb="21" eb="22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</si>
  <si>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出来栄えポイント</t>
    </r>
    <r>
      <rPr>
        <sz val="11"/>
        <color theme="1"/>
        <rFont val="Yu Gothic"/>
        <family val="2"/>
        <scheme val="minor"/>
      </rPr>
      <t>の加算値(A)</t>
    </r>
    <rPh sb="0" eb="2">
      <t>コウテイ</t>
    </rPh>
    <rPh sb="6" eb="7">
      <t>オウ</t>
    </rPh>
    <rPh sb="10" eb="13">
      <t>デキバ</t>
    </rPh>
    <rPh sb="19" eb="21">
      <t>カサン</t>
    </rPh>
    <rPh sb="21" eb="22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</si>
  <si>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出来栄えポイント</t>
    </r>
    <r>
      <rPr>
        <sz val="11"/>
        <color theme="1"/>
        <rFont val="Yu Gothic"/>
        <family val="2"/>
        <scheme val="minor"/>
      </rPr>
      <t>の加算値(B)</t>
    </r>
    <rPh sb="0" eb="2">
      <t>コウテイ</t>
    </rPh>
    <rPh sb="6" eb="7">
      <t>オウ</t>
    </rPh>
    <rPh sb="10" eb="13">
      <t>デキバ</t>
    </rPh>
    <rPh sb="19" eb="21">
      <t>カサン</t>
    </rPh>
    <rPh sb="21" eb="22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</si>
  <si>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出来栄えポイント</t>
    </r>
    <r>
      <rPr>
        <sz val="11"/>
        <color theme="1"/>
        <rFont val="Yu Gothic"/>
        <family val="2"/>
        <scheme val="minor"/>
      </rPr>
      <t>の加算値(C)</t>
    </r>
    <rPh sb="0" eb="2">
      <t>コウテイ</t>
    </rPh>
    <rPh sb="6" eb="7">
      <t>オウ</t>
    </rPh>
    <rPh sb="10" eb="13">
      <t>デキバ</t>
    </rPh>
    <rPh sb="19" eb="21">
      <t>カサン</t>
    </rPh>
    <rPh sb="21" eb="22">
      <t>アタイ</t>
    </rPh>
    <phoneticPr fontId="1"/>
  </si>
  <si>
    <r>
      <t>工程ランクに応じた、</t>
    </r>
    <r>
      <rPr>
        <b/>
        <sz val="11"/>
        <color theme="1"/>
        <rFont val="Yu Gothic"/>
        <family val="3"/>
        <charset val="128"/>
        <scheme val="minor"/>
      </rPr>
      <t>出来栄えポイント</t>
    </r>
    <r>
      <rPr>
        <sz val="11"/>
        <color theme="1"/>
        <rFont val="Yu Gothic"/>
        <family val="2"/>
        <scheme val="minor"/>
      </rPr>
      <t>の加算値(D)</t>
    </r>
    <rPh sb="0" eb="2">
      <t>コウテイ</t>
    </rPh>
    <rPh sb="6" eb="7">
      <t>オウ</t>
    </rPh>
    <rPh sb="10" eb="13">
      <t>デキバ</t>
    </rPh>
    <rPh sb="19" eb="21">
      <t>カサン</t>
    </rPh>
    <rPh sb="21" eb="22">
      <t>アタイ</t>
    </rPh>
    <phoneticPr fontId="1"/>
  </si>
  <si>
    <t>総合ランクのポイント基準(S・以上)</t>
    <rPh sb="0" eb="2">
      <t>ソウゴウ</t>
    </rPh>
    <rPh sb="10" eb="12">
      <t>キジュン</t>
    </rPh>
    <rPh sb="15" eb="17">
      <t>イジョウ</t>
    </rPh>
    <phoneticPr fontId="1"/>
  </si>
  <si>
    <t>総合ランクのポイント基準(A・以上)</t>
    <rPh sb="0" eb="2">
      <t>ソウゴウ</t>
    </rPh>
    <rPh sb="10" eb="12">
      <t>キジュン</t>
    </rPh>
    <phoneticPr fontId="1"/>
  </si>
  <si>
    <t>総合ランクのポイント基準(B・以上)</t>
    <rPh sb="0" eb="2">
      <t>ソウゴウ</t>
    </rPh>
    <rPh sb="10" eb="12">
      <t>キジュン</t>
    </rPh>
    <phoneticPr fontId="1"/>
  </si>
  <si>
    <t>総合ランクのポイント基準(C・以上)</t>
    <rPh sb="0" eb="2">
      <t>ソウゴウ</t>
    </rPh>
    <rPh sb="10" eb="12">
      <t>キジュン</t>
    </rPh>
    <phoneticPr fontId="1"/>
  </si>
  <si>
    <t>総合ランク算出時の、地色染めのポイントの重み</t>
    <rPh sb="0" eb="2">
      <t>ソウゴウ</t>
    </rPh>
    <rPh sb="5" eb="8">
      <t>サンシュツジ</t>
    </rPh>
    <rPh sb="10" eb="13">
      <t>ジイロゾ</t>
    </rPh>
    <rPh sb="20" eb="21">
      <t>オモ</t>
    </rPh>
    <phoneticPr fontId="1"/>
  </si>
  <si>
    <t>【色糊づくり】端末傾けのしきい値（度）</t>
    <rPh sb="1" eb="3">
      <t>イロノリ</t>
    </rPh>
    <rPh sb="7" eb="10">
      <t>タンマツカタム</t>
    </rPh>
    <rPh sb="15" eb="16">
      <t>チ</t>
    </rPh>
    <rPh sb="17" eb="18">
      <t>ド</t>
    </rPh>
    <phoneticPr fontId="1"/>
  </si>
  <si>
    <t>【色糊づくり】染料投入スピード(max・グラム/s)</t>
    <rPh sb="1" eb="3">
      <t>イロノリ</t>
    </rPh>
    <rPh sb="7" eb="11">
      <t>センリョウトウニュウ</t>
    </rPh>
    <phoneticPr fontId="1"/>
  </si>
  <si>
    <t>【色糊づくり】端末傾き角度に乗ずる値</t>
    <rPh sb="1" eb="3">
      <t>イロノリ</t>
    </rPh>
    <rPh sb="7" eb="10">
      <t>タンマツカタム</t>
    </rPh>
    <rPh sb="11" eb="13">
      <t>カクド</t>
    </rPh>
    <rPh sb="14" eb="15">
      <t>ジョウ</t>
    </rPh>
    <rPh sb="17" eb="18">
      <t>アタイ</t>
    </rPh>
    <phoneticPr fontId="1"/>
  </si>
  <si>
    <t>【色糊づくり】0g/sから染料投入スピード(max)に達するまでの時間(s)</t>
    <rPh sb="1" eb="3">
      <t>イロノリ</t>
    </rPh>
    <rPh sb="13" eb="15">
      <t>センリョウ</t>
    </rPh>
    <rPh sb="15" eb="17">
      <t>トウニュウ</t>
    </rPh>
    <rPh sb="27" eb="28">
      <t>タッ</t>
    </rPh>
    <rPh sb="33" eb="35">
      <t>ジカン</t>
    </rPh>
    <phoneticPr fontId="1"/>
  </si>
  <si>
    <t>【色糊づくり】染料1gあたりの、CMYK加算値</t>
    <rPh sb="1" eb="3">
      <t>イロノリ</t>
    </rPh>
    <rPh sb="7" eb="9">
      <t>センリョウ</t>
    </rPh>
    <rPh sb="20" eb="22">
      <t>カサン</t>
    </rPh>
    <rPh sb="22" eb="23">
      <t>アタイ</t>
    </rPh>
    <phoneticPr fontId="1"/>
  </si>
  <si>
    <t>【色糊づくり】工程ランク算出時の、「やりなおす」の回数基準(S)</t>
    <rPh sb="7" eb="9">
      <t>コウテイ</t>
    </rPh>
    <rPh sb="12" eb="15">
      <t>サンシュツジ</t>
    </rPh>
    <rPh sb="25" eb="27">
      <t>カイスウ</t>
    </rPh>
    <rPh sb="27" eb="29">
      <t>キジュン</t>
    </rPh>
    <phoneticPr fontId="1"/>
  </si>
  <si>
    <t>【色糊づくり】工程ランク算出時の、「やりなおす」の回数基準(A・以下)</t>
    <rPh sb="7" eb="9">
      <t>コウテイ</t>
    </rPh>
    <rPh sb="12" eb="15">
      <t>サンシュツジ</t>
    </rPh>
    <rPh sb="25" eb="27">
      <t>カイスウ</t>
    </rPh>
    <rPh sb="27" eb="29">
      <t>キジュン</t>
    </rPh>
    <rPh sb="32" eb="34">
      <t>イカ</t>
    </rPh>
    <phoneticPr fontId="1"/>
  </si>
  <si>
    <t>【色糊づくり】工程ランク算出時の、「やりなおす」の回数基準(B・以下)</t>
    <rPh sb="7" eb="9">
      <t>コウテイ</t>
    </rPh>
    <rPh sb="12" eb="15">
      <t>サンシュツジ</t>
    </rPh>
    <rPh sb="25" eb="27">
      <t>カイスウ</t>
    </rPh>
    <rPh sb="27" eb="29">
      <t>キジュン</t>
    </rPh>
    <rPh sb="32" eb="34">
      <t>イカ</t>
    </rPh>
    <phoneticPr fontId="1"/>
  </si>
  <si>
    <t>【色糊づくり】工程ランク算出時の、「やりなおす」の回数基準(C・以下)</t>
    <rPh sb="7" eb="9">
      <t>コウテイ</t>
    </rPh>
    <rPh sb="12" eb="15">
      <t>サンシュツジ</t>
    </rPh>
    <rPh sb="25" eb="27">
      <t>カイスウ</t>
    </rPh>
    <rPh sb="27" eb="29">
      <t>キジュン</t>
    </rPh>
    <rPh sb="32" eb="34">
      <t>イカ</t>
    </rPh>
    <phoneticPr fontId="1"/>
  </si>
  <si>
    <t>【色糊づくり】工程ランク算出時の、「やりなおす」の回数基準(D・以上)</t>
    <rPh sb="7" eb="9">
      <t>コウテイ</t>
    </rPh>
    <rPh sb="12" eb="15">
      <t>サンシュツジ</t>
    </rPh>
    <rPh sb="25" eb="27">
      <t>カイスウ</t>
    </rPh>
    <rPh sb="27" eb="29">
      <t>キジュン</t>
    </rPh>
    <rPh sb="32" eb="34">
      <t>イジョウ</t>
    </rPh>
    <phoneticPr fontId="1"/>
  </si>
  <si>
    <t>【地色染め】工程ランク算出時の、「やりなおす」の回数基準(S)</t>
    <rPh sb="1" eb="4">
      <t>ジイロゾ</t>
    </rPh>
    <phoneticPr fontId="1"/>
  </si>
  <si>
    <t>【地色染め】工程ランク算出時の、「やりなおす」の回数基準(A・以下)</t>
    <rPh sb="1" eb="4">
      <t>ジイロゾ</t>
    </rPh>
    <phoneticPr fontId="1"/>
  </si>
  <si>
    <t>【地色染め】工程ランク算出時の、「やりなおす」の回数基準(B・以下)</t>
    <rPh sb="1" eb="4">
      <t>ジイロゾ</t>
    </rPh>
    <phoneticPr fontId="1"/>
  </si>
  <si>
    <t>【地色染め】工程ランク算出時の、「やりなおす」の回数基準(C・以下)</t>
    <rPh sb="1" eb="4">
      <t>ジイロゾ</t>
    </rPh>
    <phoneticPr fontId="1"/>
  </si>
  <si>
    <t>【地色染め】工程ランク算出時の、「どうかな」の回数基準(S)</t>
    <rPh sb="1" eb="4">
      <t>ジイロゾ</t>
    </rPh>
    <phoneticPr fontId="1"/>
  </si>
  <si>
    <t>【地色染め】工程ランク算出時の、「どうかな」の回数基準(A・以下)</t>
    <rPh sb="1" eb="4">
      <t>ジイロゾ</t>
    </rPh>
    <phoneticPr fontId="1"/>
  </si>
  <si>
    <t>【地色染め】工程ランク算出時の、「どうかな」の回数基準(B・以下)</t>
    <rPh sb="1" eb="4">
      <t>ジイロゾ</t>
    </rPh>
    <phoneticPr fontId="1"/>
  </si>
  <si>
    <t>【地色染め】工程ランク算出時の、「どうかな」の回数基準(C・以下)</t>
    <rPh sb="1" eb="4">
      <t>ジイロゾ</t>
    </rPh>
    <phoneticPr fontId="1"/>
  </si>
  <si>
    <t>【地色染め】工程ランク算出時の、「やりなおす」の回数基準(D・以上)</t>
    <rPh sb="1" eb="4">
      <t>ジイロゾ</t>
    </rPh>
    <rPh sb="31" eb="33">
      <t>イジョウ</t>
    </rPh>
    <phoneticPr fontId="1"/>
  </si>
  <si>
    <t>【地色染め】工程ランク算出時の、「どうかな」の回数基準(D・以上)</t>
    <rPh sb="1" eb="4">
      <t>ジイロゾ</t>
    </rPh>
    <rPh sb="30" eb="32">
      <t>イジョウ</t>
    </rPh>
    <phoneticPr fontId="1"/>
  </si>
  <si>
    <t>【地色染め】工程ランク算出時の、「糊の高低差」の基準(S・以下)</t>
    <rPh sb="1" eb="4">
      <t>ジイロゾ</t>
    </rPh>
    <rPh sb="17" eb="18">
      <t>ノリ</t>
    </rPh>
    <rPh sb="19" eb="22">
      <t>コウテイサ</t>
    </rPh>
    <rPh sb="29" eb="31">
      <t>イカ</t>
    </rPh>
    <phoneticPr fontId="1"/>
  </si>
  <si>
    <t>【地色染め】工程ランク算出時の、「糊の高低差」の基準(A・以下)</t>
    <rPh sb="1" eb="4">
      <t>ジイロゾ</t>
    </rPh>
    <phoneticPr fontId="1"/>
  </si>
  <si>
    <t>【地色染め】工程ランク算出時の、「糊の高低差」の基準(B・以下)</t>
    <rPh sb="1" eb="4">
      <t>ジイロゾ</t>
    </rPh>
    <phoneticPr fontId="1"/>
  </si>
  <si>
    <t>【地色染め】工程ランク算出時の、「糊の高低差」の基準(C・以下)</t>
    <rPh sb="1" eb="4">
      <t>ジイロゾ</t>
    </rPh>
    <phoneticPr fontId="1"/>
  </si>
  <si>
    <t>【地色染め】工程ランク算出時のポイント基準(S・以上)</t>
    <rPh sb="1" eb="4">
      <t>ジイロゾ</t>
    </rPh>
    <rPh sb="24" eb="26">
      <t>イジョウ</t>
    </rPh>
    <phoneticPr fontId="1"/>
  </si>
  <si>
    <t>【地色染め】工程ランク算出時のポイント基準(A・以上)</t>
    <rPh sb="1" eb="4">
      <t>ジイロゾ</t>
    </rPh>
    <phoneticPr fontId="1"/>
  </si>
  <si>
    <t>【地色染め】工程ランク算出時のポイント基準(B・以上)</t>
    <rPh sb="1" eb="4">
      <t>ジイロゾ</t>
    </rPh>
    <phoneticPr fontId="1"/>
  </si>
  <si>
    <t>【地色染め】工程ランク算出時のポイント基準(C・以上)</t>
    <rPh sb="1" eb="4">
      <t>ジイロゾ</t>
    </rPh>
    <phoneticPr fontId="1"/>
  </si>
  <si>
    <t>【地色染め】工程ランク算出時の、Sランクの追加条件（糊の高さの最低値・以上か）</t>
    <rPh sb="21" eb="23">
      <t>ツイカ</t>
    </rPh>
    <rPh sb="23" eb="25">
      <t>ジョウケン</t>
    </rPh>
    <rPh sb="26" eb="27">
      <t>ノリ</t>
    </rPh>
    <rPh sb="28" eb="29">
      <t>タカ</t>
    </rPh>
    <rPh sb="31" eb="34">
      <t>サイテイチ</t>
    </rPh>
    <rPh sb="35" eb="37">
      <t>イジョウ</t>
    </rPh>
    <phoneticPr fontId="1"/>
  </si>
  <si>
    <t>【水洗い】一振りの洗浄量算出での定数</t>
    <rPh sb="1" eb="3">
      <t>ミズアラ</t>
    </rPh>
    <rPh sb="5" eb="7">
      <t>ヒトフ</t>
    </rPh>
    <rPh sb="9" eb="11">
      <t>センジョウ</t>
    </rPh>
    <rPh sb="11" eb="12">
      <t>リョウ</t>
    </rPh>
    <rPh sb="12" eb="14">
      <t>サンシュツ</t>
    </rPh>
    <rPh sb="16" eb="18">
      <t>テイスウ</t>
    </rPh>
    <phoneticPr fontId="1"/>
  </si>
  <si>
    <t>【水洗い】一振りの洗浄量算出での乱数(min)</t>
    <rPh sb="1" eb="3">
      <t>ミズアラ</t>
    </rPh>
    <rPh sb="5" eb="7">
      <t>ヒトフ</t>
    </rPh>
    <rPh sb="9" eb="11">
      <t>センジョウ</t>
    </rPh>
    <rPh sb="11" eb="12">
      <t>リョウ</t>
    </rPh>
    <rPh sb="12" eb="14">
      <t>サンシュツ</t>
    </rPh>
    <rPh sb="16" eb="18">
      <t>ランスウ</t>
    </rPh>
    <phoneticPr fontId="1"/>
  </si>
  <si>
    <t>【水洗い】一振りの洗浄量算出での乱数(max)</t>
    <rPh sb="1" eb="3">
      <t>ミズアラ</t>
    </rPh>
    <rPh sb="5" eb="7">
      <t>ヒトフ</t>
    </rPh>
    <rPh sb="9" eb="11">
      <t>センジョウ</t>
    </rPh>
    <rPh sb="11" eb="12">
      <t>リョウ</t>
    </rPh>
    <rPh sb="12" eb="14">
      <t>サンシュツ</t>
    </rPh>
    <rPh sb="16" eb="18">
      <t>ランスウ</t>
    </rPh>
    <phoneticPr fontId="1"/>
  </si>
  <si>
    <t>【水洗い】工程ランク算出時の、糊の落とし具合(S・0からの±)</t>
    <rPh sb="5" eb="7">
      <t>コウテイ</t>
    </rPh>
    <rPh sb="10" eb="13">
      <t>サンシュツジ</t>
    </rPh>
    <rPh sb="15" eb="16">
      <t>ノリ</t>
    </rPh>
    <rPh sb="17" eb="18">
      <t>オ</t>
    </rPh>
    <rPh sb="20" eb="22">
      <t>グアイ</t>
    </rPh>
    <phoneticPr fontId="1"/>
  </si>
  <si>
    <t>【水洗い】工程ランク算出時の、糊の落とし具合(C・0からの±)</t>
    <rPh sb="5" eb="7">
      <t>コウテイ</t>
    </rPh>
    <rPh sb="10" eb="13">
      <t>サンシュツジ</t>
    </rPh>
    <rPh sb="15" eb="16">
      <t>ノリ</t>
    </rPh>
    <rPh sb="17" eb="18">
      <t>オ</t>
    </rPh>
    <rPh sb="20" eb="22">
      <t>グアイ</t>
    </rPh>
    <phoneticPr fontId="1"/>
  </si>
  <si>
    <t>【水洗い】工程ランク算出時の、糊の落とし具合(A・0からの±)</t>
    <rPh sb="5" eb="7">
      <t>コウテイ</t>
    </rPh>
    <rPh sb="10" eb="13">
      <t>サンシュツジ</t>
    </rPh>
    <rPh sb="15" eb="16">
      <t>ノリ</t>
    </rPh>
    <rPh sb="17" eb="18">
      <t>オ</t>
    </rPh>
    <rPh sb="20" eb="22">
      <t>グアイ</t>
    </rPh>
    <phoneticPr fontId="1"/>
  </si>
  <si>
    <t>【水洗い】工程ランク算出時の、糊の落とし具合(B・0からの±)</t>
    <rPh sb="5" eb="7">
      <t>コウテイ</t>
    </rPh>
    <rPh sb="10" eb="13">
      <t>サンシュツジ</t>
    </rPh>
    <rPh sb="15" eb="16">
      <t>ノリ</t>
    </rPh>
    <rPh sb="17" eb="18">
      <t>オ</t>
    </rPh>
    <rPh sb="20" eb="22">
      <t>グアイ</t>
    </rPh>
    <phoneticPr fontId="1"/>
  </si>
  <si>
    <t>出来栄えポイントの加算対象となる工程の数（出来栄えポイントの最大値算出に使う）</t>
    <rPh sb="0" eb="3">
      <t>デキバ</t>
    </rPh>
    <rPh sb="9" eb="11">
      <t>カサン</t>
    </rPh>
    <rPh sb="11" eb="13">
      <t>タイショウ</t>
    </rPh>
    <rPh sb="16" eb="18">
      <t>コウテイ</t>
    </rPh>
    <rPh sb="19" eb="20">
      <t>スウ</t>
    </rPh>
    <rPh sb="21" eb="24">
      <t>デキバ</t>
    </rPh>
    <rPh sb="30" eb="33">
      <t>サイダイチ</t>
    </rPh>
    <rPh sb="33" eb="35">
      <t>サンシュツ</t>
    </rPh>
    <rPh sb="36" eb="37">
      <t>ツカ</t>
    </rPh>
    <phoneticPr fontId="1"/>
  </si>
  <si>
    <t>【色糊づくり】染料1種類あたりの最大投入量(g)</t>
    <rPh sb="1" eb="3">
      <t>イロノリ</t>
    </rPh>
    <rPh sb="7" eb="9">
      <t>センリョウ</t>
    </rPh>
    <rPh sb="10" eb="12">
      <t>シュルイ</t>
    </rPh>
    <rPh sb="16" eb="21">
      <t>サイダイトウニュウリョウ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</si>
</sst>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C0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</cellXfs>
  <cellStyles count="1">
    <cellStyle name="標準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Yu Gothic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80BE6-4348-4C58-BBFC-C1FEA2388D06}" name="テーブル1" displayName="テーブル1" ref="A1:C59" totalsRowShown="0" headerRowDxfId="4" tableBorderDxfId="3">
  <autoFilter ref="A1:C59" xr:uid="{C1880BE6-4348-4C58-BBFC-C1FEA2388D06}">
    <filterColumn colId="0" hiddenButton="1"/>
    <filterColumn colId="1" hiddenButton="1"/>
    <filterColumn colId="2" hiddenButton="1"/>
  </autoFilter>
  <tableColumns count="3">
    <tableColumn id="1" xr3:uid="{362D18BE-5E92-40FA-86F9-AE8408D7C19E}" name="要素番号" dataDxfId="2">
      <calculatedColumnFormula>ROW()-2</calculatedColumnFormula>
    </tableColumn>
    <tableColumn id="2" xr3:uid="{AB0EC590-3E05-425E-8A01-E769B8866CC6}" name="意味" dataDxfId="1"/>
    <tableColumn id="3" xr3:uid="{18D0685D-7CF7-4D79-B0EC-B95164DD80F9}" name="n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D6" sqref="D6"/>
    </sheetView>
  </sheetViews>
  <sheetFormatPr defaultRowHeight="18.75"/>
  <cols>
    <col min="1" max="1" width="10.25" customWidth="1"/>
    <col min="2" max="2" width="73.875" customWidth="1"/>
    <col min="3" max="3" width="9.5" bestFit="1" customWidth="1"/>
    <col min="4" max="4" width="3.75" customWidth="1"/>
  </cols>
  <sheetData>
    <row r="1" spans="1:6">
      <c r="A1" s="10" t="s">
        <v>2</v>
      </c>
      <c r="B1" s="10" t="s">
        <v>1</v>
      </c>
      <c r="C1" s="10" t="s">
        <v>0</v>
      </c>
    </row>
    <row r="2" spans="1:6">
      <c r="A2" s="8">
        <f t="shared" ref="A2" si="0">ROW()-2</f>
        <v>0</v>
      </c>
      <c r="B2" s="5" t="s">
        <v>26</v>
      </c>
      <c r="C2" s="8">
        <v>35</v>
      </c>
      <c r="E2" t="s">
        <v>3</v>
      </c>
    </row>
    <row r="3" spans="1:6">
      <c r="A3" s="8">
        <f t="shared" ref="A3:A26" si="1">ROW()-2</f>
        <v>1</v>
      </c>
      <c r="B3" s="5" t="s">
        <v>27</v>
      </c>
      <c r="C3" s="8">
        <f>C59/10</f>
        <v>5</v>
      </c>
      <c r="F3" t="s">
        <v>4</v>
      </c>
    </row>
    <row r="4" spans="1:6">
      <c r="A4" s="8">
        <f t="shared" si="1"/>
        <v>2</v>
      </c>
      <c r="B4" s="5" t="s">
        <v>28</v>
      </c>
      <c r="C4" s="8">
        <v>0.7</v>
      </c>
    </row>
    <row r="5" spans="1:6">
      <c r="A5" s="8">
        <f t="shared" si="1"/>
        <v>3</v>
      </c>
      <c r="B5" s="5" t="s">
        <v>29</v>
      </c>
      <c r="C5" s="8">
        <v>2</v>
      </c>
      <c r="E5" t="s">
        <v>5</v>
      </c>
    </row>
    <row r="6" spans="1:6">
      <c r="A6" s="8">
        <f t="shared" si="1"/>
        <v>4</v>
      </c>
      <c r="B6" s="5" t="s">
        <v>30</v>
      </c>
      <c r="C6" s="8">
        <v>0.01</v>
      </c>
    </row>
    <row r="7" spans="1:6">
      <c r="A7" s="8">
        <f t="shared" si="1"/>
        <v>5</v>
      </c>
      <c r="B7" s="5" t="s">
        <v>31</v>
      </c>
      <c r="C7" s="8">
        <v>0</v>
      </c>
    </row>
    <row r="8" spans="1:6">
      <c r="A8" s="8">
        <f t="shared" si="1"/>
        <v>6</v>
      </c>
      <c r="B8" s="5" t="s">
        <v>32</v>
      </c>
      <c r="C8" s="8">
        <v>1</v>
      </c>
    </row>
    <row r="9" spans="1:6">
      <c r="A9" s="8">
        <f t="shared" si="1"/>
        <v>7</v>
      </c>
      <c r="B9" s="5" t="s">
        <v>33</v>
      </c>
      <c r="C9" s="8">
        <v>2</v>
      </c>
    </row>
    <row r="10" spans="1:6">
      <c r="A10" s="8">
        <f t="shared" si="1"/>
        <v>8</v>
      </c>
      <c r="B10" s="5" t="s">
        <v>34</v>
      </c>
      <c r="C10" s="8">
        <v>3</v>
      </c>
    </row>
    <row r="11" spans="1:6">
      <c r="A11" s="8">
        <f t="shared" si="1"/>
        <v>9</v>
      </c>
      <c r="B11" s="5" t="s">
        <v>35</v>
      </c>
      <c r="C11" s="8">
        <v>4</v>
      </c>
    </row>
    <row r="12" spans="1:6">
      <c r="A12" s="8">
        <f t="shared" si="1"/>
        <v>10</v>
      </c>
      <c r="B12" s="5" t="s">
        <v>36</v>
      </c>
      <c r="C12" s="8">
        <v>0</v>
      </c>
    </row>
    <row r="13" spans="1:6">
      <c r="A13" s="8">
        <f t="shared" si="1"/>
        <v>11</v>
      </c>
      <c r="B13" s="5" t="s">
        <v>37</v>
      </c>
      <c r="C13" s="8">
        <v>1</v>
      </c>
    </row>
    <row r="14" spans="1:6">
      <c r="A14" s="8">
        <f t="shared" si="1"/>
        <v>12</v>
      </c>
      <c r="B14" s="5" t="s">
        <v>38</v>
      </c>
      <c r="C14" s="8">
        <v>2</v>
      </c>
    </row>
    <row r="15" spans="1:6">
      <c r="A15" s="8">
        <f t="shared" si="1"/>
        <v>13</v>
      </c>
      <c r="B15" s="5" t="s">
        <v>39</v>
      </c>
      <c r="C15" s="8">
        <v>3</v>
      </c>
    </row>
    <row r="16" spans="1:6">
      <c r="A16" s="8">
        <f t="shared" si="1"/>
        <v>14</v>
      </c>
      <c r="B16" s="5" t="s">
        <v>44</v>
      </c>
      <c r="C16" s="8">
        <v>4</v>
      </c>
    </row>
    <row r="17" spans="1:3">
      <c r="A17" s="8">
        <f t="shared" si="1"/>
        <v>15</v>
      </c>
      <c r="B17" s="5" t="s">
        <v>40</v>
      </c>
      <c r="C17" s="8">
        <v>0</v>
      </c>
    </row>
    <row r="18" spans="1:3">
      <c r="A18" s="8">
        <f t="shared" si="1"/>
        <v>16</v>
      </c>
      <c r="B18" s="5" t="s">
        <v>41</v>
      </c>
      <c r="C18" s="8">
        <v>1</v>
      </c>
    </row>
    <row r="19" spans="1:3">
      <c r="A19" s="8">
        <f t="shared" si="1"/>
        <v>17</v>
      </c>
      <c r="B19" s="5" t="s">
        <v>42</v>
      </c>
      <c r="C19" s="8">
        <v>2</v>
      </c>
    </row>
    <row r="20" spans="1:3">
      <c r="A20" s="8">
        <f t="shared" si="1"/>
        <v>18</v>
      </c>
      <c r="B20" s="5" t="s">
        <v>43</v>
      </c>
      <c r="C20" s="8">
        <v>3</v>
      </c>
    </row>
    <row r="21" spans="1:3">
      <c r="A21" s="8">
        <f t="shared" si="1"/>
        <v>19</v>
      </c>
      <c r="B21" s="5" t="s">
        <v>45</v>
      </c>
      <c r="C21" s="8">
        <v>4</v>
      </c>
    </row>
    <row r="22" spans="1:3">
      <c r="A22" s="8">
        <f t="shared" si="1"/>
        <v>20</v>
      </c>
      <c r="B22" s="5" t="s">
        <v>46</v>
      </c>
      <c r="C22" s="8">
        <v>0.15</v>
      </c>
    </row>
    <row r="23" spans="1:3">
      <c r="A23" s="8">
        <f t="shared" si="1"/>
        <v>21</v>
      </c>
      <c r="B23" s="5" t="s">
        <v>47</v>
      </c>
      <c r="C23" s="8">
        <v>0.3</v>
      </c>
    </row>
    <row r="24" spans="1:3">
      <c r="A24" s="8">
        <f t="shared" si="1"/>
        <v>22</v>
      </c>
      <c r="B24" s="5" t="s">
        <v>48</v>
      </c>
      <c r="C24" s="8">
        <v>0.5</v>
      </c>
    </row>
    <row r="25" spans="1:3">
      <c r="A25" s="8">
        <f t="shared" si="1"/>
        <v>23</v>
      </c>
      <c r="B25" s="5" t="s">
        <v>49</v>
      </c>
      <c r="C25" s="8">
        <v>0.8</v>
      </c>
    </row>
    <row r="26" spans="1:3">
      <c r="A26" s="8">
        <f t="shared" si="1"/>
        <v>24</v>
      </c>
      <c r="B26" s="5" t="s">
        <v>54</v>
      </c>
      <c r="C26" s="8">
        <v>0.15</v>
      </c>
    </row>
    <row r="27" spans="1:3">
      <c r="A27" s="8">
        <f t="shared" ref="A27:A37" si="2">ROW()-2</f>
        <v>25</v>
      </c>
      <c r="B27" s="5" t="s">
        <v>50</v>
      </c>
      <c r="C27" s="8">
        <v>18</v>
      </c>
    </row>
    <row r="28" spans="1:3">
      <c r="A28" s="8">
        <f t="shared" si="2"/>
        <v>26</v>
      </c>
      <c r="B28" s="5" t="s">
        <v>51</v>
      </c>
      <c r="C28" s="8">
        <v>9</v>
      </c>
    </row>
    <row r="29" spans="1:3">
      <c r="A29" s="8">
        <f t="shared" si="2"/>
        <v>27</v>
      </c>
      <c r="B29" s="5" t="s">
        <v>52</v>
      </c>
      <c r="C29" s="8">
        <v>5</v>
      </c>
    </row>
    <row r="30" spans="1:3">
      <c r="A30" s="8">
        <f t="shared" si="2"/>
        <v>28</v>
      </c>
      <c r="B30" s="5" t="s">
        <v>53</v>
      </c>
      <c r="C30" s="8">
        <v>2</v>
      </c>
    </row>
    <row r="31" spans="1:3">
      <c r="A31" s="8">
        <f t="shared" si="2"/>
        <v>29</v>
      </c>
      <c r="B31" s="5" t="s">
        <v>55</v>
      </c>
      <c r="C31" s="8">
        <v>50</v>
      </c>
    </row>
    <row r="32" spans="1:3">
      <c r="A32" s="8">
        <f t="shared" si="2"/>
        <v>30</v>
      </c>
      <c r="B32" s="5" t="s">
        <v>56</v>
      </c>
      <c r="C32" s="8">
        <v>0.75</v>
      </c>
    </row>
    <row r="33" spans="1:5">
      <c r="A33" s="8">
        <f t="shared" si="2"/>
        <v>31</v>
      </c>
      <c r="B33" s="5" t="s">
        <v>57</v>
      </c>
      <c r="C33" s="8">
        <v>1.3</v>
      </c>
    </row>
    <row r="34" spans="1:5">
      <c r="A34" s="8">
        <f t="shared" si="2"/>
        <v>32</v>
      </c>
      <c r="B34" s="5" t="s">
        <v>58</v>
      </c>
      <c r="C34" s="8">
        <v>0.3</v>
      </c>
    </row>
    <row r="35" spans="1:5">
      <c r="A35" s="8">
        <f t="shared" si="2"/>
        <v>33</v>
      </c>
      <c r="B35" s="5" t="s">
        <v>60</v>
      </c>
      <c r="C35" s="8">
        <v>0.8</v>
      </c>
    </row>
    <row r="36" spans="1:5">
      <c r="A36" s="8">
        <f t="shared" si="2"/>
        <v>34</v>
      </c>
      <c r="B36" s="5" t="s">
        <v>61</v>
      </c>
      <c r="C36" s="8">
        <v>1.5</v>
      </c>
    </row>
    <row r="37" spans="1:5">
      <c r="A37" s="8">
        <f t="shared" si="2"/>
        <v>35</v>
      </c>
      <c r="B37" s="5" t="s">
        <v>59</v>
      </c>
      <c r="C37" s="8">
        <v>3</v>
      </c>
    </row>
    <row r="38" spans="1:5">
      <c r="A38" s="8">
        <f>ROW()-2</f>
        <v>36</v>
      </c>
      <c r="B38" s="5" t="s">
        <v>16</v>
      </c>
      <c r="C38" s="8">
        <v>6</v>
      </c>
    </row>
    <row r="39" spans="1:5">
      <c r="A39" s="8">
        <f t="shared" ref="A39:A42" si="3">ROW()-2</f>
        <v>37</v>
      </c>
      <c r="B39" s="5" t="s">
        <v>17</v>
      </c>
      <c r="C39" s="8">
        <v>3.5</v>
      </c>
    </row>
    <row r="40" spans="1:5">
      <c r="A40" s="8">
        <f t="shared" si="3"/>
        <v>38</v>
      </c>
      <c r="B40" s="5" t="s">
        <v>18</v>
      </c>
      <c r="C40" s="8">
        <v>2</v>
      </c>
    </row>
    <row r="41" spans="1:5">
      <c r="A41" s="8">
        <f t="shared" si="3"/>
        <v>39</v>
      </c>
      <c r="B41" s="5" t="s">
        <v>19</v>
      </c>
      <c r="C41" s="8">
        <v>1</v>
      </c>
    </row>
    <row r="42" spans="1:5">
      <c r="A42" s="8">
        <f t="shared" si="3"/>
        <v>40</v>
      </c>
      <c r="B42" s="5" t="s">
        <v>20</v>
      </c>
      <c r="C42" s="8">
        <v>0</v>
      </c>
    </row>
    <row r="43" spans="1:5">
      <c r="A43" s="8">
        <f t="shared" ref="A43:A47" si="4">ROW()-2</f>
        <v>41</v>
      </c>
      <c r="B43" s="5" t="s">
        <v>11</v>
      </c>
      <c r="C43" s="8">
        <v>10</v>
      </c>
    </row>
    <row r="44" spans="1:5">
      <c r="A44" s="8">
        <f t="shared" si="4"/>
        <v>42</v>
      </c>
      <c r="B44" s="6" t="s">
        <v>12</v>
      </c>
      <c r="C44" s="8">
        <v>5</v>
      </c>
    </row>
    <row r="45" spans="1:5">
      <c r="A45" s="8">
        <f t="shared" si="4"/>
        <v>43</v>
      </c>
      <c r="B45" s="6" t="s">
        <v>13</v>
      </c>
      <c r="C45" s="8">
        <v>2</v>
      </c>
    </row>
    <row r="46" spans="1:5">
      <c r="A46" s="8">
        <f t="shared" si="4"/>
        <v>44</v>
      </c>
      <c r="B46" s="6" t="s">
        <v>14</v>
      </c>
      <c r="C46" s="8">
        <v>1</v>
      </c>
    </row>
    <row r="47" spans="1:5">
      <c r="A47" s="8">
        <f t="shared" si="4"/>
        <v>45</v>
      </c>
      <c r="B47" s="6" t="s">
        <v>15</v>
      </c>
      <c r="C47" s="8">
        <v>0.25</v>
      </c>
    </row>
    <row r="48" spans="1:5">
      <c r="A48" s="8">
        <f t="shared" ref="A48:A52" si="5">ROW()-2</f>
        <v>46</v>
      </c>
      <c r="B48" s="5" t="s">
        <v>10</v>
      </c>
      <c r="C48" s="8">
        <v>10</v>
      </c>
      <c r="E48" s="2"/>
    </row>
    <row r="49" spans="1:5">
      <c r="A49" s="8">
        <f t="shared" si="5"/>
        <v>47</v>
      </c>
      <c r="B49" s="6" t="s">
        <v>9</v>
      </c>
      <c r="C49" s="8">
        <v>5</v>
      </c>
      <c r="E49" s="1"/>
    </row>
    <row r="50" spans="1:5">
      <c r="A50" s="8">
        <f t="shared" si="5"/>
        <v>48</v>
      </c>
      <c r="B50" s="6" t="s">
        <v>8</v>
      </c>
      <c r="C50" s="8">
        <v>2</v>
      </c>
    </row>
    <row r="51" spans="1:5">
      <c r="A51" s="8">
        <f t="shared" si="5"/>
        <v>49</v>
      </c>
      <c r="B51" s="6" t="s">
        <v>7</v>
      </c>
      <c r="C51" s="8">
        <v>1</v>
      </c>
    </row>
    <row r="52" spans="1:5">
      <c r="A52" s="9">
        <f t="shared" si="5"/>
        <v>50</v>
      </c>
      <c r="B52" s="7" t="s">
        <v>6</v>
      </c>
      <c r="C52" s="9">
        <v>0.25</v>
      </c>
    </row>
    <row r="53" spans="1:5">
      <c r="A53" s="8">
        <f t="shared" ref="A53:A58" si="6">ROW()-2</f>
        <v>51</v>
      </c>
      <c r="B53" s="5" t="s">
        <v>25</v>
      </c>
      <c r="C53" s="8">
        <v>1.5</v>
      </c>
    </row>
    <row r="54" spans="1:5">
      <c r="A54" s="8">
        <f t="shared" si="6"/>
        <v>52</v>
      </c>
      <c r="B54" s="5" t="s">
        <v>21</v>
      </c>
      <c r="C54" s="8">
        <v>13</v>
      </c>
    </row>
    <row r="55" spans="1:5">
      <c r="A55" s="8">
        <f t="shared" si="6"/>
        <v>53</v>
      </c>
      <c r="B55" s="5" t="s">
        <v>22</v>
      </c>
      <c r="C55" s="8">
        <v>10</v>
      </c>
    </row>
    <row r="56" spans="1:5">
      <c r="A56" s="8">
        <f t="shared" si="6"/>
        <v>54</v>
      </c>
      <c r="B56" s="5" t="s">
        <v>23</v>
      </c>
      <c r="C56" s="8">
        <v>6</v>
      </c>
    </row>
    <row r="57" spans="1:5">
      <c r="A57" s="8">
        <f t="shared" si="6"/>
        <v>55</v>
      </c>
      <c r="B57" s="5" t="s">
        <v>24</v>
      </c>
      <c r="C57" s="8">
        <v>2.5</v>
      </c>
    </row>
    <row r="58" spans="1:5">
      <c r="A58" s="8">
        <f t="shared" si="6"/>
        <v>56</v>
      </c>
      <c r="B58" s="5" t="s">
        <v>62</v>
      </c>
      <c r="C58" s="8">
        <v>5</v>
      </c>
    </row>
    <row r="59" spans="1:5">
      <c r="A59" s="8">
        <f>ROW()-2</f>
        <v>57</v>
      </c>
      <c r="B59" s="5" t="s">
        <v>63</v>
      </c>
      <c r="C59" s="8">
        <v>50</v>
      </c>
    </row>
    <row r="60" spans="1:5">
      <c r="A60" s="3"/>
      <c r="B60" s="4"/>
      <c r="C60" s="3"/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TKS21 島村涼平</cp:lastModifiedBy>
  <dcterms:created xsi:type="dcterms:W3CDTF">2015-06-05T18:19:34Z</dcterms:created>
  <dcterms:modified xsi:type="dcterms:W3CDTF">2025-02-06T04:00:00Z</dcterms:modified>
</cp:coreProperties>
</file>