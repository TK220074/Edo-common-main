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0_Common\SceneInfo\"/>
    </mc:Choice>
  </mc:AlternateContent>
  <xr:revisionPtr revIDLastSave="0" documentId="13_ncr:1_{83D00A5B-0DC2-4337-9C94-6935B0AAF49C}" xr6:coauthVersionLast="47" xr6:coauthVersionMax="47" xr10:uidLastSave="{00000000-0000-0000-0000-000000000000}"/>
  <bookViews>
    <workbookView xWindow="3180" yWindow="2580" windowWidth="21600" windowHeight="11295" xr2:uid="{00000000-000D-0000-FFFF-FFFF00000000}"/>
  </bookViews>
  <sheets>
    <sheet name="list" sheetId="1" r:id="rId1"/>
    <sheet name="gameP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1" i="1"/>
  <c r="A12" i="1"/>
  <c r="A10" i="1"/>
  <c r="F4" i="1" s="1"/>
  <c r="A9" i="1"/>
  <c r="F5" i="1" s="1"/>
  <c r="A8" i="1"/>
  <c r="A7" i="1"/>
  <c r="A6" i="1"/>
  <c r="A5" i="1"/>
  <c r="E9" i="1" s="1"/>
  <c r="A3" i="1"/>
  <c r="A4" i="1"/>
  <c r="F3" i="1" s="1"/>
  <c r="A2" i="1"/>
  <c r="E4" i="1" s="1"/>
  <c r="F2" i="1" l="1"/>
  <c r="E5" i="1"/>
  <c r="E6" i="1"/>
  <c r="E7" i="1"/>
  <c r="E8" i="1"/>
</calcChain>
</file>

<file path=xl/sharedStrings.xml><?xml version="1.0" encoding="utf-8"?>
<sst xmlns="http://schemas.openxmlformats.org/spreadsheetml/2006/main" count="44" uniqueCount="35">
  <si>
    <t>SceneID</t>
    <phoneticPr fontId="1"/>
  </si>
  <si>
    <t>タイトル</t>
    <phoneticPr fontId="1"/>
  </si>
  <si>
    <t>クレジットロール</t>
    <phoneticPr fontId="1"/>
  </si>
  <si>
    <t>工房</t>
    <rPh sb="0" eb="2">
      <t>コウボウ</t>
    </rPh>
    <phoneticPr fontId="1"/>
  </si>
  <si>
    <t>おでかけ</t>
    <phoneticPr fontId="1"/>
  </si>
  <si>
    <t>いらい</t>
    <phoneticPr fontId="1"/>
  </si>
  <si>
    <t>プロフィール</t>
    <phoneticPr fontId="1"/>
  </si>
  <si>
    <t>returnId</t>
    <phoneticPr fontId="1"/>
  </si>
  <si>
    <t>name</t>
    <phoneticPr fontId="1"/>
  </si>
  <si>
    <t>bgmId</t>
    <phoneticPr fontId="1"/>
  </si>
  <si>
    <t>nextId</t>
    <phoneticPr fontId="1"/>
  </si>
  <si>
    <t>returnId=(特にAパート)「もどる」選択時の遷移先ID</t>
    <rPh sb="10" eb="11">
      <t>トク</t>
    </rPh>
    <rPh sb="22" eb="25">
      <t>センタクジ</t>
    </rPh>
    <rPh sb="26" eb="29">
      <t>センイサキ</t>
    </rPh>
    <phoneticPr fontId="1"/>
  </si>
  <si>
    <t>nextId=次に進む場合の遷移先ID・候補が複数ある場合はカンマ区切りで記載の上、DatabaseManager.get_nextScene()で取得</t>
    <rPh sb="7" eb="8">
      <t>ツギ</t>
    </rPh>
    <rPh sb="9" eb="10">
      <t>スス</t>
    </rPh>
    <rPh sb="11" eb="13">
      <t>バアイ</t>
    </rPh>
    <rPh sb="14" eb="17">
      <t>センイサキ</t>
    </rPh>
    <rPh sb="20" eb="22">
      <t>コウホ</t>
    </rPh>
    <rPh sb="23" eb="25">
      <t>フクスウ</t>
    </rPh>
    <rPh sb="27" eb="29">
      <t>バアイ</t>
    </rPh>
    <rPh sb="33" eb="35">
      <t>クギ</t>
    </rPh>
    <rPh sb="37" eb="39">
      <t>キサイ</t>
    </rPh>
    <rPh sb="40" eb="41">
      <t>ウエ</t>
    </rPh>
    <rPh sb="74" eb="76">
      <t>シュトク</t>
    </rPh>
    <phoneticPr fontId="1"/>
  </si>
  <si>
    <t>gamePart</t>
    <phoneticPr fontId="1"/>
  </si>
  <si>
    <t>A</t>
  </si>
  <si>
    <t>A</t>
    <phoneticPr fontId="1"/>
  </si>
  <si>
    <t>B</t>
    <phoneticPr fontId="1"/>
  </si>
  <si>
    <t>C</t>
    <phoneticPr fontId="1"/>
  </si>
  <si>
    <t>other</t>
  </si>
  <si>
    <t>other</t>
    <phoneticPr fontId="1"/>
  </si>
  <si>
    <t>Home</t>
    <phoneticPr fontId="1"/>
  </si>
  <si>
    <t>KomonCreation</t>
    <phoneticPr fontId="1"/>
  </si>
  <si>
    <t>Battle</t>
    <phoneticPr fontId="1"/>
  </si>
  <si>
    <t>以下以外</t>
    <rPh sb="0" eb="2">
      <t>イカ</t>
    </rPh>
    <rPh sb="2" eb="4">
      <t>イガイ</t>
    </rPh>
    <phoneticPr fontId="1"/>
  </si>
  <si>
    <t>part</t>
    <phoneticPr fontId="1"/>
  </si>
  <si>
    <t>envBgmId</t>
    <phoneticPr fontId="1"/>
  </si>
  <si>
    <t>B</t>
  </si>
  <si>
    <t>bgmId = -1:無音 0以上:そのIDのBGM再生</t>
    <rPh sb="11" eb="13">
      <t>ムオン</t>
    </rPh>
    <rPh sb="15" eb="17">
      <t>イジョウ</t>
    </rPh>
    <rPh sb="26" eb="28">
      <t>サイセイ</t>
    </rPh>
    <phoneticPr fontId="1"/>
  </si>
  <si>
    <t>小紋づくり（仮）</t>
    <rPh sb="0" eb="2">
      <t>コモン</t>
    </rPh>
    <rPh sb="6" eb="7">
      <t>カリ</t>
    </rPh>
    <phoneticPr fontId="1"/>
  </si>
  <si>
    <t>いろんな お店（仮）</t>
    <rPh sb="6" eb="7">
      <t>ミセ</t>
    </rPh>
    <phoneticPr fontId="1"/>
  </si>
  <si>
    <t>バトル</t>
    <phoneticPr fontId="1"/>
  </si>
  <si>
    <t>未定</t>
    <rPh sb="0" eb="2">
      <t>ミテイ</t>
    </rPh>
    <phoneticPr fontId="1"/>
  </si>
  <si>
    <t>シナリオ再生シーン</t>
    <rPh sb="4" eb="6">
      <t>サイセイ</t>
    </rPh>
    <phoneticPr fontId="1"/>
  </si>
  <si>
    <t>バトル/ていさつ - 行先選択</t>
    <rPh sb="11" eb="13">
      <t>イキサキ</t>
    </rPh>
    <rPh sb="13" eb="15">
      <t>センタク</t>
    </rPh>
    <phoneticPr fontId="1"/>
  </si>
  <si>
    <t>bgId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</si>
</sst>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4EF99-FCD3-4218-A621-AD78147ED1C2}" name="Comment" displayName="Comment" ref="A1:H13" totalsRowShown="0">
  <autoFilter ref="A1:H13" xr:uid="{A284EF99-FCD3-4218-A621-AD78147ED1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CE8E5E5-B6C7-4EA8-A5E9-3A97BA5E2292}" name="SceneID">
      <calculatedColumnFormula>ROW()-2</calculatedColumnFormula>
    </tableColumn>
    <tableColumn id="6" xr3:uid="{782EA58A-C53F-465F-B519-40EC58A5A7C8}" name="part"/>
    <tableColumn id="2" xr3:uid="{4B29B4DA-850D-4B91-B61C-648C29015D59}" name="name"/>
    <tableColumn id="8" xr3:uid="{1046C22B-BE4F-4D26-9010-9DFE0F9A7F93}" name="bgId"/>
    <tableColumn id="3" xr3:uid="{E150FFD1-8198-4F19-B875-7808434E9DDD}" name="returnId" dataDxfId="3"/>
    <tableColumn id="5" xr3:uid="{EB4DA66C-4C23-4471-98D9-1FEF8DBA630D}" name="nextId" dataDxfId="2"/>
    <tableColumn id="4" xr3:uid="{D1E4E4DF-C08C-4EF1-9C91-AEE3C85F1832}" name="bgmId" dataDxfId="1"/>
    <tableColumn id="7" xr3:uid="{9C140C09-0455-4B2B-B1CD-E8CAF48B18A4}" name="envBgmI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DD53C9-2712-45C6-BF57-30944FC4DE7F}" name="partList" displayName="partList" ref="A1:A5" totalsRowShown="0">
  <autoFilter ref="A1:A5" xr:uid="{6CDD53C9-2712-45C6-BF57-30944FC4DE7F}">
    <filterColumn colId="0" hiddenButton="1"/>
  </autoFilter>
  <tableColumns count="1">
    <tableColumn id="1" xr3:uid="{B7A4148F-25E7-4E4B-A444-A0737EAD00E5}" name="gameP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K7" sqref="K7"/>
    </sheetView>
  </sheetViews>
  <sheetFormatPr defaultRowHeight="18.75"/>
  <cols>
    <col min="1" max="2" width="11.125" customWidth="1"/>
    <col min="3" max="3" width="27.625" bestFit="1" customWidth="1"/>
    <col min="4" max="4" width="5.75" bestFit="1" customWidth="1"/>
    <col min="5" max="6" width="10.25" customWidth="1"/>
    <col min="8" max="8" width="11.125" bestFit="1" customWidth="1"/>
  </cols>
  <sheetData>
    <row r="1" spans="1:10">
      <c r="A1" t="s">
        <v>0</v>
      </c>
      <c r="B1" t="s">
        <v>24</v>
      </c>
      <c r="C1" t="s">
        <v>8</v>
      </c>
      <c r="D1" t="s">
        <v>34</v>
      </c>
      <c r="E1" t="s">
        <v>7</v>
      </c>
      <c r="F1" t="s">
        <v>10</v>
      </c>
      <c r="G1" t="s">
        <v>9</v>
      </c>
      <c r="H1" t="s">
        <v>25</v>
      </c>
    </row>
    <row r="2" spans="1:10">
      <c r="A2">
        <f>ROW()-2</f>
        <v>0</v>
      </c>
      <c r="B2" t="s">
        <v>18</v>
      </c>
      <c r="C2" t="s">
        <v>1</v>
      </c>
      <c r="D2">
        <v>0</v>
      </c>
      <c r="F2" t="str">
        <f>A4&amp;","&amp;A11</f>
        <v>2,9</v>
      </c>
      <c r="G2">
        <v>-1</v>
      </c>
      <c r="H2">
        <v>3</v>
      </c>
      <c r="J2" t="s">
        <v>11</v>
      </c>
    </row>
    <row r="3" spans="1:10">
      <c r="A3">
        <f t="shared" ref="A3:A4" si="0">ROW()-2</f>
        <v>1</v>
      </c>
      <c r="B3" t="s">
        <v>18</v>
      </c>
      <c r="C3" t="s">
        <v>2</v>
      </c>
      <c r="D3">
        <v>-1</v>
      </c>
      <c r="F3">
        <f>A4</f>
        <v>2</v>
      </c>
      <c r="G3">
        <v>39</v>
      </c>
      <c r="H3">
        <v>-1</v>
      </c>
      <c r="J3" t="s">
        <v>12</v>
      </c>
    </row>
    <row r="4" spans="1:10">
      <c r="A4">
        <f t="shared" si="0"/>
        <v>2</v>
      </c>
      <c r="B4" t="s">
        <v>14</v>
      </c>
      <c r="C4" t="s">
        <v>3</v>
      </c>
      <c r="D4">
        <v>1</v>
      </c>
      <c r="E4">
        <f>A2</f>
        <v>0</v>
      </c>
      <c r="F4">
        <f>A10</f>
        <v>8</v>
      </c>
      <c r="G4">
        <v>0</v>
      </c>
      <c r="H4">
        <v>0</v>
      </c>
      <c r="J4" t="s">
        <v>27</v>
      </c>
    </row>
    <row r="5" spans="1:10">
      <c r="A5">
        <f t="shared" ref="A5:A8" si="1">ROW()-2</f>
        <v>3</v>
      </c>
      <c r="B5" t="s">
        <v>14</v>
      </c>
      <c r="C5" t="s">
        <v>4</v>
      </c>
      <c r="D5">
        <v>2</v>
      </c>
      <c r="E5">
        <f>A4</f>
        <v>2</v>
      </c>
      <c r="F5">
        <f>A9</f>
        <v>7</v>
      </c>
      <c r="G5">
        <v>4</v>
      </c>
      <c r="H5">
        <v>1</v>
      </c>
    </row>
    <row r="6" spans="1:10">
      <c r="A6">
        <f t="shared" si="1"/>
        <v>4</v>
      </c>
      <c r="B6" t="s">
        <v>14</v>
      </c>
      <c r="C6" t="s">
        <v>33</v>
      </c>
      <c r="D6">
        <v>-1</v>
      </c>
      <c r="E6">
        <f>A4</f>
        <v>2</v>
      </c>
      <c r="F6">
        <v>10</v>
      </c>
      <c r="G6">
        <v>10</v>
      </c>
      <c r="H6">
        <v>-1</v>
      </c>
    </row>
    <row r="7" spans="1:10">
      <c r="A7">
        <f t="shared" si="1"/>
        <v>5</v>
      </c>
      <c r="B7" t="s">
        <v>14</v>
      </c>
      <c r="C7" t="s">
        <v>5</v>
      </c>
      <c r="D7">
        <v>-1</v>
      </c>
      <c r="E7">
        <f>A4</f>
        <v>2</v>
      </c>
      <c r="G7">
        <v>0</v>
      </c>
      <c r="H7">
        <v>0</v>
      </c>
    </row>
    <row r="8" spans="1:10">
      <c r="A8">
        <f t="shared" si="1"/>
        <v>6</v>
      </c>
      <c r="B8" t="s">
        <v>14</v>
      </c>
      <c r="C8" t="s">
        <v>6</v>
      </c>
      <c r="D8">
        <v>8</v>
      </c>
      <c r="E8">
        <f>A4</f>
        <v>2</v>
      </c>
      <c r="G8">
        <v>14</v>
      </c>
      <c r="H8">
        <v>-1</v>
      </c>
    </row>
    <row r="9" spans="1:10">
      <c r="A9">
        <f>ROW()-2</f>
        <v>7</v>
      </c>
      <c r="B9" t="s">
        <v>14</v>
      </c>
      <c r="C9" t="s">
        <v>29</v>
      </c>
      <c r="D9">
        <v>-1</v>
      </c>
      <c r="E9">
        <f>A5</f>
        <v>3</v>
      </c>
      <c r="G9">
        <v>-1</v>
      </c>
      <c r="H9">
        <v>2</v>
      </c>
    </row>
    <row r="10" spans="1:10">
      <c r="A10">
        <f>ROW()-2</f>
        <v>8</v>
      </c>
      <c r="B10" t="s">
        <v>26</v>
      </c>
      <c r="C10" t="s">
        <v>28</v>
      </c>
      <c r="D10">
        <v>-1</v>
      </c>
      <c r="E10">
        <v>2</v>
      </c>
      <c r="G10">
        <v>20</v>
      </c>
    </row>
    <row r="11" spans="1:10">
      <c r="A11">
        <f t="shared" ref="A11:A12" si="2">ROW()-2</f>
        <v>9</v>
      </c>
      <c r="B11" t="s">
        <v>18</v>
      </c>
      <c r="C11" t="s">
        <v>32</v>
      </c>
      <c r="D11">
        <v>-1</v>
      </c>
      <c r="G11">
        <v>-1</v>
      </c>
      <c r="H11">
        <v>-1</v>
      </c>
    </row>
    <row r="12" spans="1:10">
      <c r="A12">
        <f t="shared" si="2"/>
        <v>10</v>
      </c>
      <c r="B12" t="s">
        <v>26</v>
      </c>
      <c r="C12" t="s">
        <v>30</v>
      </c>
      <c r="D12">
        <v>-1</v>
      </c>
      <c r="E12">
        <v>2</v>
      </c>
      <c r="G12">
        <v>29</v>
      </c>
      <c r="H12">
        <v>21</v>
      </c>
    </row>
    <row r="13" spans="1:10">
      <c r="A13">
        <f>ROW()-2</f>
        <v>11</v>
      </c>
      <c r="B13" t="s">
        <v>26</v>
      </c>
      <c r="C13" t="s">
        <v>31</v>
      </c>
      <c r="D13">
        <v>-1</v>
      </c>
    </row>
  </sheetData>
  <phoneticPr fontId="1"/>
  <dataValidations count="1">
    <dataValidation type="list" allowBlank="1" showInputMessage="1" showErrorMessage="1" sqref="B2:B13" xr:uid="{B3BC899A-3FE5-4604-BD2D-05E6A7834875}">
      <formula1>INDIRECT("partList")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E5" formula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DECC-F6C1-411A-972A-CCDAD9FBD16C}">
  <dimension ref="A1:C5"/>
  <sheetViews>
    <sheetView workbookViewId="0">
      <selection activeCell="D22" sqref="D22"/>
    </sheetView>
  </sheetViews>
  <sheetFormatPr defaultRowHeight="18.75"/>
  <cols>
    <col min="1" max="1" width="11.75" customWidth="1"/>
    <col min="2" max="2" width="3.875" customWidth="1"/>
  </cols>
  <sheetData>
    <row r="1" spans="1:3">
      <c r="A1" t="s">
        <v>13</v>
      </c>
    </row>
    <row r="2" spans="1:3">
      <c r="A2" t="s">
        <v>19</v>
      </c>
      <c r="C2" t="s">
        <v>23</v>
      </c>
    </row>
    <row r="3" spans="1:3">
      <c r="A3" t="s">
        <v>15</v>
      </c>
      <c r="C3" t="s">
        <v>20</v>
      </c>
    </row>
    <row r="4" spans="1:3">
      <c r="A4" t="s">
        <v>16</v>
      </c>
      <c r="C4" t="s">
        <v>21</v>
      </c>
    </row>
    <row r="5" spans="1:3">
      <c r="A5" t="s">
        <v>17</v>
      </c>
      <c r="C5" t="s">
        <v>22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</vt:lpstr>
      <vt:lpstr>gamePart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TKS21 島村涼平</cp:lastModifiedBy>
  <dcterms:created xsi:type="dcterms:W3CDTF">2015-06-05T18:19:34Z</dcterms:created>
  <dcterms:modified xsi:type="dcterms:W3CDTF">2025-02-10T13:09:24Z</dcterms:modified>
</cp:coreProperties>
</file>