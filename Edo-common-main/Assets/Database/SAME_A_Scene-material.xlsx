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nkzacjp-my.sharepoint.com/personal/tk210069_tks_iput_ac_jp/Documents/Project-SAME/情報整理用/"/>
    </mc:Choice>
  </mc:AlternateContent>
  <xr:revisionPtr revIDLastSave="1086" documentId="8_{43350105-F792-3244-B5EE-B6E632259707}" xr6:coauthVersionLast="47" xr6:coauthVersionMax="47" xr10:uidLastSave="{16C51C12-6441-4835-A6F2-8FCB77EF9FE1}"/>
  <bookViews>
    <workbookView xWindow="1860" yWindow="4185" windowWidth="21585" windowHeight="11295" activeTab="3" xr2:uid="{18415FE7-A7FF-D44A-B869-176F673B9794}"/>
  </bookViews>
  <sheets>
    <sheet name="Font" sheetId="1" r:id="rId1"/>
    <sheet name="BGM" sheetId="3" r:id="rId2"/>
    <sheet name="BGM_Env" sheetId="9" r:id="rId3"/>
    <sheet name="SE" sheetId="7" r:id="rId4"/>
    <sheet name="SE_UI" sheetId="5" r:id="rId5"/>
    <sheet name="Image_BG" sheetId="10" r:id="rId6"/>
    <sheet name="Image_UI" sheetId="6" r:id="rId7"/>
    <sheet name="data" sheetId="8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6" l="1"/>
  <c r="A20" i="6"/>
  <c r="A19" i="6"/>
  <c r="A18" i="6"/>
  <c r="A17" i="6"/>
  <c r="A10" i="10"/>
  <c r="A4" i="10"/>
  <c r="A9" i="10"/>
  <c r="A8" i="10"/>
  <c r="A7" i="10"/>
  <c r="A6" i="10"/>
  <c r="A5" i="10"/>
  <c r="A3" i="10"/>
  <c r="A2" i="10"/>
  <c r="A47" i="3"/>
  <c r="A68" i="7"/>
  <c r="A69" i="7"/>
  <c r="A70" i="7"/>
  <c r="A71" i="7"/>
  <c r="A72" i="7"/>
  <c r="A73" i="7"/>
  <c r="A13" i="6"/>
  <c r="A12" i="6"/>
  <c r="A15" i="9"/>
  <c r="A16" i="9"/>
  <c r="A17" i="9"/>
  <c r="A20" i="3"/>
  <c r="A8" i="3"/>
  <c r="A9" i="3"/>
  <c r="A10" i="3"/>
  <c r="A11" i="3"/>
  <c r="A27" i="9"/>
  <c r="A28" i="9"/>
  <c r="A24" i="9"/>
  <c r="A25" i="9"/>
  <c r="A26" i="9"/>
  <c r="A3" i="7"/>
  <c r="A2" i="7"/>
  <c r="A5" i="9"/>
  <c r="A6" i="9"/>
  <c r="A7" i="9"/>
  <c r="A8" i="9"/>
  <c r="A9" i="9"/>
  <c r="A10" i="9"/>
  <c r="A11" i="9"/>
  <c r="A12" i="9"/>
  <c r="A13" i="9"/>
  <c r="A14" i="9"/>
  <c r="A20" i="9"/>
  <c r="A21" i="9"/>
  <c r="A22" i="9"/>
  <c r="A64" i="7"/>
  <c r="A65" i="7"/>
  <c r="A66" i="7"/>
  <c r="A67" i="7"/>
  <c r="A18" i="9"/>
  <c r="A4" i="9"/>
  <c r="A3" i="9"/>
  <c r="A46" i="3"/>
  <c r="A44" i="3"/>
  <c r="A45" i="3"/>
  <c r="A42" i="3"/>
  <c r="A41" i="3"/>
  <c r="A36" i="3"/>
  <c r="A28" i="3"/>
  <c r="A16" i="3"/>
  <c r="A17" i="3"/>
  <c r="A18" i="3"/>
  <c r="A19" i="3"/>
  <c r="A21" i="3"/>
  <c r="A35" i="3"/>
  <c r="A37" i="3"/>
  <c r="A27" i="3"/>
  <c r="A29" i="3"/>
  <c r="A38" i="3"/>
  <c r="A39" i="3"/>
  <c r="A22" i="3"/>
  <c r="A23" i="3"/>
  <c r="A24" i="3"/>
  <c r="A25" i="3"/>
  <c r="A26" i="3"/>
  <c r="A30" i="3"/>
  <c r="A54" i="7"/>
  <c r="A55" i="7"/>
  <c r="A56" i="7"/>
  <c r="A57" i="7"/>
  <c r="A58" i="7"/>
  <c r="A59" i="7"/>
  <c r="A60" i="7"/>
  <c r="A61" i="7"/>
  <c r="A62" i="7"/>
  <c r="A63" i="7"/>
  <c r="A38" i="7"/>
  <c r="A39" i="7"/>
  <c r="A40" i="7"/>
  <c r="A41" i="7"/>
  <c r="A42" i="7"/>
  <c r="A43" i="7"/>
  <c r="A44" i="7"/>
  <c r="A15" i="7"/>
  <c r="A16" i="7"/>
  <c r="A17" i="7"/>
  <c r="A18" i="7"/>
  <c r="A19" i="7"/>
  <c r="A20" i="7"/>
  <c r="A21" i="7"/>
  <c r="A22" i="7"/>
  <c r="A23" i="7"/>
  <c r="A24" i="7"/>
  <c r="A27" i="7"/>
  <c r="A26" i="7"/>
  <c r="A25" i="7"/>
  <c r="A30" i="7"/>
  <c r="A29" i="7"/>
  <c r="A35" i="7"/>
  <c r="A36" i="7"/>
  <c r="A37" i="7"/>
  <c r="A45" i="7"/>
  <c r="A14" i="7"/>
  <c r="A10" i="7"/>
  <c r="A11" i="7"/>
  <c r="A12" i="7"/>
  <c r="A13" i="7"/>
  <c r="A19" i="9"/>
  <c r="A2" i="9"/>
  <c r="A23" i="9"/>
  <c r="A9" i="7"/>
  <c r="A50" i="7"/>
  <c r="A51" i="7"/>
  <c r="A49" i="7"/>
  <c r="A48" i="7"/>
  <c r="A47" i="7"/>
  <c r="A8" i="7"/>
  <c r="A7" i="7"/>
  <c r="A6" i="7"/>
  <c r="A52" i="7"/>
  <c r="A53" i="7"/>
  <c r="A32" i="7"/>
  <c r="A31" i="7"/>
  <c r="A28" i="7"/>
  <c r="A5" i="7"/>
  <c r="A4" i="7"/>
  <c r="A46" i="7"/>
  <c r="A34" i="7"/>
  <c r="A33" i="7"/>
  <c r="A2" i="5"/>
  <c r="A3" i="5"/>
  <c r="A7" i="3"/>
  <c r="A2" i="6"/>
  <c r="A9" i="6"/>
  <c r="A10" i="6"/>
  <c r="A3" i="6"/>
  <c r="A4" i="6"/>
  <c r="A5" i="6"/>
  <c r="A6" i="6"/>
  <c r="A7" i="6"/>
  <c r="A8" i="6"/>
  <c r="A11" i="6"/>
  <c r="A2" i="3"/>
  <c r="A3" i="3"/>
  <c r="A4" i="3"/>
  <c r="A5" i="3"/>
  <c r="A43" i="3"/>
  <c r="A6" i="3"/>
  <c r="A12" i="3"/>
  <c r="A31" i="3"/>
  <c r="A32" i="3"/>
  <c r="A33" i="3"/>
  <c r="A34" i="3"/>
  <c r="A13" i="3"/>
  <c r="A15" i="3"/>
  <c r="A14" i="3"/>
  <c r="A40" i="3"/>
</calcChain>
</file>

<file path=xl/sharedStrings.xml><?xml version="1.0" encoding="utf-8"?>
<sst xmlns="http://schemas.openxmlformats.org/spreadsheetml/2006/main" count="513" uniqueCount="212">
  <si>
    <t>No</t>
    <phoneticPr fontId="1"/>
  </si>
  <si>
    <t>part</t>
    <phoneticPr fontId="1"/>
  </si>
  <si>
    <t>どこの場面</t>
    <rPh sb="3" eb="5">
      <t>バメン</t>
    </rPh>
    <phoneticPr fontId="1"/>
  </si>
  <si>
    <t>雰囲気</t>
    <rPh sb="0" eb="3">
      <t>フンイキ</t>
    </rPh>
    <phoneticPr fontId="1"/>
  </si>
  <si>
    <t>備考</t>
  </si>
  <si>
    <t>素材URL</t>
  </si>
  <si>
    <t>出典</t>
  </si>
  <si>
    <t>文字の伝わりやすさ参考</t>
  </si>
  <si>
    <t>全ての場面に適用</t>
  </si>
  <si>
    <t>丸みを感じるフォントで比較的にまじめな印象
UD（ユニバーサルデザイン）＋ゴシック体であることで見え方の多様性に配慮したフォント</t>
  </si>
  <si>
    <t>商用利用可
再配布可</t>
  </si>
  <si>
    <t>https://nkzacjp-my.sharepoint.com/:u:/r/personal/tk210069_tks_iput_ac_jp/Documents/Project-SAME/%E7%B4%A0%E6%9D%90/Font/BIZ_UDPGothic/BIZUDPGothic-Regular.ttf?csf=1&amp;web=1&amp;e=OByFT0</t>
  </si>
  <si>
    <t>https://fonts.google.com/specimen/BIZ+UDPGothic/license?preview=</t>
  </si>
  <si>
    <t>https://tsutawarudesign.com/universal2.html</t>
  </si>
  <si>
    <t>A_Home</t>
  </si>
  <si>
    <t>ホーム</t>
  </si>
  <si>
    <t>完</t>
  </si>
  <si>
    <t>https://soundcloud.com/sn6wmusic/someday-somewhere?utm_source=sn6wmusic.com&amp;utm_campaign=wtshare&amp;utm_medium=widget&amp;utm_content=https%253A%252F%252Fsoundcloud.com%252Fsn6wmusic%252Fsomeday-somewhere</t>
  </si>
  <si>
    <t>小紋アルバム-小紋全体表示</t>
  </si>
  <si>
    <t>https://soundcloud.com/sn6wmusic/your-true-self-ii?utm_source=sn6wmusic.com&amp;utm_campaign=wtshare&amp;utm_medium=widget&amp;utm_content=https%253A%252F%252Fsoundcloud.com%252Fsn6wmusic%252Fyour-true-self-ii</t>
  </si>
  <si>
    <t>作業場</t>
  </si>
  <si>
    <t>https://soundcloud.com/sn6wmusic/purple-clouds-short?utm_source=sn6wmusic.com&amp;utm_campaign=wtshare&amp;utm_medium=widget&amp;utm_content=https%253A%252F%252Fsoundcloud.com%252Fsn6wmusic%252Fpurple-clouds-short</t>
  </si>
  <si>
    <t>作業場-アイテム作り</t>
  </si>
  <si>
    <t>アイテムづくりはカット</t>
    <phoneticPr fontId="1"/>
  </si>
  <si>
    <t>https://soundcloud.com/sn6wmusic/no-ones-dream?utm_source=sn6wmusic.com&amp;utm_campaign=wtshare&amp;utm_medium=widget&amp;utm_content=https%253A%252F%252Fsoundcloud.com%252Fsn6wmusic%252Fno-ones-dream</t>
  </si>
  <si>
    <t>おでかけ-店選び</t>
    <rPh sb="5" eb="7">
      <t>ミセエラ</t>
    </rPh>
    <phoneticPr fontId="1"/>
  </si>
  <si>
    <t>「おでかけ感」を出してみたく、少しわくわくする音楽</t>
  </si>
  <si>
    <t>https://shw.in/old/audio/hometown_mixv2.mp3</t>
  </si>
  <si>
    <t>おでかけ-店舗内-1</t>
    <rPh sb="5" eb="8">
      <t>テンポナイ</t>
    </rPh>
    <phoneticPr fontId="1"/>
  </si>
  <si>
    <t>店ごとに編曲変える＝メロディーは同じ</t>
    <rPh sb="0" eb="1">
      <t>ミセ</t>
    </rPh>
    <rPh sb="4" eb="6">
      <t>ヘンキョク</t>
    </rPh>
    <rPh sb="6" eb="7">
      <t>カ</t>
    </rPh>
    <rPh sb="16" eb="17">
      <t>オナ</t>
    </rPh>
    <phoneticPr fontId="1"/>
  </si>
  <si>
    <t>https://shw.in/old/audio/kohannomura.mp3</t>
  </si>
  <si>
    <t>おでかけ-店舗内-2</t>
    <rPh sb="5" eb="8">
      <t>テンポナイ</t>
    </rPh>
    <phoneticPr fontId="1"/>
  </si>
  <si>
    <t>おでかけ-店舗内-3</t>
    <rPh sb="5" eb="8">
      <t>テンポナイ</t>
    </rPh>
    <phoneticPr fontId="1"/>
  </si>
  <si>
    <t>おでかけ-店舗内-4</t>
    <rPh sb="5" eb="8">
      <t>テンポナイ</t>
    </rPh>
    <phoneticPr fontId="1"/>
  </si>
  <si>
    <t>おでかけ-店舗内-5</t>
    <rPh sb="5" eb="8">
      <t>テンポナイ</t>
    </rPh>
    <phoneticPr fontId="1"/>
  </si>
  <si>
    <t>マップ</t>
    <phoneticPr fontId="1"/>
  </si>
  <si>
    <t>https://youtu.be/G_DQO1itn1E?si=xLUcgpEr_k7IT4NQ
闇に立ち向かう・勇ましさ・作戦立案、準備</t>
    <phoneticPr fontId="1"/>
  </si>
  <si>
    <t>https://amachamusic.chagasi.com/mp3/rokugatsunoenrai.mp3</t>
  </si>
  <si>
    <t>ていさつ-弟子送り出し</t>
    <phoneticPr fontId="1"/>
  </si>
  <si>
    <t>にゃんこ戦闘開始</t>
    <rPh sb="4" eb="8">
      <t>セントウカイシ</t>
    </rPh>
    <phoneticPr fontId="1"/>
  </si>
  <si>
    <t>完　SE的な使い方</t>
  </si>
  <si>
    <t>https://soundcloud.com/sn6wmusic/belly-buu?utm_source=sn6wmusic.com&amp;utm_campaign=wtshare&amp;utm_medium=widget&amp;utm_content=https%253A%252F%252Fsoundcloud.com%252Fsn6wmusic%252Fbelly-buu</t>
  </si>
  <si>
    <t>ていさつ-進行表示</t>
    <phoneticPr fontId="1"/>
  </si>
  <si>
    <t>https://amachamusic.chagasi.com/mp3/yoiyaminoseaside.mp3</t>
  </si>
  <si>
    <t>ていさつ-結果表示</t>
    <phoneticPr fontId="1"/>
  </si>
  <si>
    <t>バトルリザルトよりも軽めなリザルト音源</t>
  </si>
  <si>
    <t>完　バトルリザルトと同じ？</t>
  </si>
  <si>
    <t>https://soundcloud.com/sn6wmusic/unfamiliar-street?utm_source=sn6wmusic.com&amp;utm_campaign=wtshare&amp;utm_medium=widget&amp;utm_content=https%253A%252F%252Fsoundcloud.com%252Fsn6wmusic%252Funfamiliar-street</t>
  </si>
  <si>
    <t>プロフィール</t>
    <phoneticPr fontId="1"/>
  </si>
  <si>
    <t>https://soundcloud.com/sn6wmusic/sugar-donut?utm_source=sn6wmusic.com&amp;utm_campaign=wtshare&amp;utm_medium=widget&amp;utm_content=https%253A%252F%252Fsoundcloud.com%252Fsn6wmusic%252Fsugar-donut</t>
  </si>
  <si>
    <t>B_komonCreation</t>
    <phoneticPr fontId="1"/>
  </si>
  <si>
    <t>制作中-1</t>
    <rPh sb="0" eb="3">
      <t>セイサクチュウ</t>
    </rPh>
    <phoneticPr fontId="1"/>
  </si>
  <si>
    <t>完成に近づくにつれ、盛り上がってくる・楽器が加わるなど</t>
  </si>
  <si>
    <t>3パターンの楽曲見つからず悩み中</t>
  </si>
  <si>
    <t>B_komonCreation</t>
  </si>
  <si>
    <t>制作中-2</t>
    <rPh sb="0" eb="3">
      <t>セイサクチュウ</t>
    </rPh>
    <phoneticPr fontId="1"/>
  </si>
  <si>
    <t>制作中-3</t>
    <rPh sb="0" eb="3">
      <t>セイサクチュウ</t>
    </rPh>
    <phoneticPr fontId="1"/>
  </si>
  <si>
    <t>リザルト</t>
    <phoneticPr fontId="1"/>
  </si>
  <si>
    <t>https://soundcloud.com/sn6wmusic/morning-assembly-c?utm_source=sn6wmusic.com&amp;utm_campaign=wtshare&amp;utm_medium=widget&amp;utm_content=https%253A%252F%252Fsoundcloud.com%252Fsn6wmusic%252Fmorning-assembly-c</t>
  </si>
  <si>
    <t>C_Battle</t>
  </si>
  <si>
    <t>戦闘前確認,軍の人数表示</t>
    <phoneticPr fontId="1"/>
  </si>
  <si>
    <t>https://shw.in/old/audio/history_main_off.mp3</t>
  </si>
  <si>
    <t>エドッコ配置</t>
    <phoneticPr fontId="1"/>
  </si>
  <si>
    <t>https://shw.in/old/audio/history.mp3</t>
  </si>
  <si>
    <t>戦闘</t>
    <phoneticPr fontId="1"/>
  </si>
  <si>
    <t>https://shw.in/old/audio/ikusa_japan2.mp3</t>
  </si>
  <si>
    <t>https://shw.in/old/audio/kingdom_mixv2.mp3</t>
  </si>
  <si>
    <t>Other</t>
  </si>
  <si>
    <t>タイトル</t>
  </si>
  <si>
    <t>環境音のみもアリ</t>
    <rPh sb="0" eb="3">
      <t>カンキョウオン</t>
    </rPh>
    <phoneticPr fontId="1"/>
  </si>
  <si>
    <t>エンドロール</t>
    <phoneticPr fontId="1"/>
  </si>
  <si>
    <t>https://shw.in/old/audio/gareki.mp3</t>
  </si>
  <si>
    <t>工房内</t>
    <rPh sb="0" eb="3">
      <t>コウボウナイ</t>
    </rPh>
    <phoneticPr fontId="1"/>
  </si>
  <si>
    <t>効果音ラボ</t>
  </si>
  <si>
    <t>街中</t>
    <rPh sb="0" eb="2">
      <t>マチナカ</t>
    </rPh>
    <phoneticPr fontId="1"/>
  </si>
  <si>
    <t>完</t>
    <rPh sb="0" eb="1">
      <t>カン</t>
    </rPh>
    <phoneticPr fontId="1"/>
  </si>
  <si>
    <t>店舗内</t>
    <rPh sb="0" eb="3">
      <t>テンポナイ</t>
    </rPh>
    <phoneticPr fontId="1"/>
  </si>
  <si>
    <t>工房の外</t>
    <rPh sb="0" eb="2">
      <t>コウボウ</t>
    </rPh>
    <rPh sb="3" eb="4">
      <t>ソト</t>
    </rPh>
    <phoneticPr fontId="1"/>
  </si>
  <si>
    <t>住宅街</t>
    <rPh sb="0" eb="3">
      <t>ジュウタクガイ</t>
    </rPh>
    <phoneticPr fontId="1"/>
  </si>
  <si>
    <t>水洗い-水道流す</t>
    <rPh sb="0" eb="2">
      <t>ミズアラ</t>
    </rPh>
    <rPh sb="4" eb="6">
      <t>スイドウ</t>
    </rPh>
    <rPh sb="6" eb="7">
      <t>ナガ</t>
    </rPh>
    <phoneticPr fontId="1"/>
  </si>
  <si>
    <t>水洗い-水揚げ後の生地</t>
    <rPh sb="0" eb="2">
      <t>ミズアラ</t>
    </rPh>
    <rPh sb="4" eb="6">
      <t>ミズア</t>
    </rPh>
    <rPh sb="7" eb="8">
      <t>ゴ</t>
    </rPh>
    <rPh sb="9" eb="11">
      <t>キジ</t>
    </rPh>
    <phoneticPr fontId="1"/>
  </si>
  <si>
    <t>ポタポタ</t>
    <phoneticPr fontId="1"/>
  </si>
  <si>
    <t>合戦・戦闘中</t>
    <rPh sb="0" eb="2">
      <t>カッセン</t>
    </rPh>
    <rPh sb="3" eb="6">
      <t>セントウチュウ</t>
    </rPh>
    <phoneticPr fontId="1"/>
  </si>
  <si>
    <t>ボカスカ</t>
    <phoneticPr fontId="1"/>
  </si>
  <si>
    <t>合戦・エドッコの軍勢</t>
    <rPh sb="0" eb="2">
      <t>カッセン</t>
    </rPh>
    <rPh sb="8" eb="10">
      <t>グンゼイ</t>
    </rPh>
    <phoneticPr fontId="1"/>
  </si>
  <si>
    <t>ワー</t>
    <phoneticPr fontId="1"/>
  </si>
  <si>
    <t>応援にともなう炎-1</t>
    <rPh sb="0" eb="2">
      <t>オウエン</t>
    </rPh>
    <rPh sb="7" eb="8">
      <t>ホノオ</t>
    </rPh>
    <phoneticPr fontId="1"/>
  </si>
  <si>
    <t>メラメラ</t>
    <phoneticPr fontId="1"/>
  </si>
  <si>
    <t>応援にともなう炎-2</t>
    <rPh sb="0" eb="2">
      <t>オウエン</t>
    </rPh>
    <rPh sb="7" eb="8">
      <t>ホノオ</t>
    </rPh>
    <phoneticPr fontId="1"/>
  </si>
  <si>
    <t>応援にともなう炎-3</t>
    <rPh sb="0" eb="2">
      <t>オウエン</t>
    </rPh>
    <rPh sb="7" eb="8">
      <t>ホノオ</t>
    </rPh>
    <phoneticPr fontId="1"/>
  </si>
  <si>
    <t>草原</t>
    <rPh sb="0" eb="2">
      <t>ソウゲン</t>
    </rPh>
    <phoneticPr fontId="1"/>
  </si>
  <si>
    <t>工房に入る音</t>
    <rPh sb="0" eb="2">
      <t>コウボウ</t>
    </rPh>
    <rPh sb="3" eb="4">
      <t>ハイ</t>
    </rPh>
    <rPh sb="5" eb="6">
      <t>オト</t>
    </rPh>
    <phoneticPr fontId="1"/>
  </si>
  <si>
    <t>ドア開閉とか？</t>
    <rPh sb="2" eb="4">
      <t>カイヘイ</t>
    </rPh>
    <phoneticPr fontId="1"/>
  </si>
  <si>
    <t>購入</t>
    <rPh sb="0" eb="2">
      <t>コウニュウ</t>
    </rPh>
    <phoneticPr fontId="1"/>
  </si>
  <si>
    <t>チャリン</t>
    <phoneticPr fontId="1"/>
  </si>
  <si>
    <t>破棄</t>
    <rPh sb="0" eb="2">
      <t>ハキ</t>
    </rPh>
    <phoneticPr fontId="1"/>
  </si>
  <si>
    <t>ゴミ箱</t>
    <rPh sb="2" eb="3">
      <t>バコ</t>
    </rPh>
    <phoneticPr fontId="1"/>
  </si>
  <si>
    <t>ていさつ-出発</t>
    <rPh sb="5" eb="7">
      <t>シュッパツ</t>
    </rPh>
    <phoneticPr fontId="1"/>
  </si>
  <si>
    <t>だっだっだっ</t>
    <phoneticPr fontId="1"/>
  </si>
  <si>
    <t>ていさつ-帰還</t>
    <rPh sb="5" eb="7">
      <t>キカン</t>
    </rPh>
    <phoneticPr fontId="1"/>
  </si>
  <si>
    <t>トランペット</t>
    <phoneticPr fontId="1"/>
  </si>
  <si>
    <t>クラッカー　ぱーん</t>
    <phoneticPr fontId="1"/>
  </si>
  <si>
    <t>おでかけ-店に入る音-生地</t>
    <rPh sb="5" eb="6">
      <t>ミセ</t>
    </rPh>
    <rPh sb="7" eb="8">
      <t>ハイ</t>
    </rPh>
    <rPh sb="9" eb="10">
      <t>オト</t>
    </rPh>
    <rPh sb="11" eb="13">
      <t>キジ</t>
    </rPh>
    <phoneticPr fontId="1"/>
  </si>
  <si>
    <t>おでかけ-店に入る音-型紙</t>
    <rPh sb="5" eb="6">
      <t>ミセ</t>
    </rPh>
    <rPh sb="7" eb="8">
      <t>ハイ</t>
    </rPh>
    <rPh sb="9" eb="10">
      <t>オト</t>
    </rPh>
    <rPh sb="11" eb="13">
      <t>カタガミ</t>
    </rPh>
    <phoneticPr fontId="1"/>
  </si>
  <si>
    <t>おでかけ-店に入る音-染料</t>
    <rPh sb="5" eb="6">
      <t>ミセ</t>
    </rPh>
    <rPh sb="7" eb="8">
      <t>ハイ</t>
    </rPh>
    <rPh sb="9" eb="10">
      <t>オト</t>
    </rPh>
    <phoneticPr fontId="1"/>
  </si>
  <si>
    <t>おでかけ-店に入る音-職人道具</t>
    <rPh sb="5" eb="6">
      <t>ミセ</t>
    </rPh>
    <rPh sb="7" eb="8">
      <t>ハイ</t>
    </rPh>
    <rPh sb="9" eb="10">
      <t>オト</t>
    </rPh>
    <rPh sb="11" eb="13">
      <t>ショクニン</t>
    </rPh>
    <rPh sb="13" eb="15">
      <t>ドウグ</t>
    </rPh>
    <phoneticPr fontId="1"/>
  </si>
  <si>
    <t>おでかけ-店に入る音-家具</t>
    <rPh sb="5" eb="6">
      <t>ミセ</t>
    </rPh>
    <rPh sb="7" eb="8">
      <t>ハイ</t>
    </rPh>
    <rPh sb="9" eb="10">
      <t>オト</t>
    </rPh>
    <rPh sb="11" eb="13">
      <t>カグ</t>
    </rPh>
    <phoneticPr fontId="1"/>
  </si>
  <si>
    <t>おでかけ-店舗変更</t>
    <rPh sb="5" eb="9">
      <t>テンポヘンコウ</t>
    </rPh>
    <phoneticPr fontId="1"/>
  </si>
  <si>
    <t>DJスクラッチ・小紋づくりの「やりなおす」も</t>
    <rPh sb="8" eb="10">
      <t>コモン</t>
    </rPh>
    <phoneticPr fontId="1"/>
  </si>
  <si>
    <t>ノック音（窓）</t>
    <rPh sb="3" eb="4">
      <t>オト</t>
    </rPh>
    <rPh sb="5" eb="6">
      <t>マド</t>
    </rPh>
    <phoneticPr fontId="1"/>
  </si>
  <si>
    <t>水をかける</t>
    <rPh sb="0" eb="1">
      <t>ミズ</t>
    </rPh>
    <phoneticPr fontId="1"/>
  </si>
  <si>
    <t>バシャーン</t>
    <phoneticPr fontId="1"/>
  </si>
  <si>
    <t>びっくり！</t>
    <phoneticPr fontId="1"/>
  </si>
  <si>
    <t>ピキーン！</t>
    <phoneticPr fontId="1"/>
  </si>
  <si>
    <t>はてな？</t>
    <phoneticPr fontId="1"/>
  </si>
  <si>
    <t>（心的）ショック！</t>
    <rPh sb="1" eb="3">
      <t>シンテキ</t>
    </rPh>
    <phoneticPr fontId="1"/>
  </si>
  <si>
    <t>ガガーン</t>
    <phoneticPr fontId="1"/>
  </si>
  <si>
    <t>イマジネーション</t>
    <phoneticPr fontId="1"/>
  </si>
  <si>
    <t>ポワポワポワ……</t>
    <phoneticPr fontId="1"/>
  </si>
  <si>
    <t>どうかな系</t>
    <rPh sb="4" eb="5">
      <t>ケイ</t>
    </rPh>
    <phoneticPr fontId="1"/>
  </si>
  <si>
    <t>解析的な</t>
    <rPh sb="0" eb="2">
      <t>カイセキ</t>
    </rPh>
    <rPh sb="2" eb="3">
      <t>テキ</t>
    </rPh>
    <phoneticPr fontId="1"/>
  </si>
  <si>
    <t>染料投入</t>
    <rPh sb="0" eb="4">
      <t>センリョウトウニュウ</t>
    </rPh>
    <phoneticPr fontId="1"/>
  </si>
  <si>
    <t>糊を伸ばす</t>
    <rPh sb="0" eb="1">
      <t>ノリ</t>
    </rPh>
    <rPh sb="2" eb="3">
      <t>ノ</t>
    </rPh>
    <phoneticPr fontId="1"/>
  </si>
  <si>
    <t>工房見学音源</t>
  </si>
  <si>
    <t>ヘラが当たる音</t>
    <rPh sb="3" eb="4">
      <t>ア</t>
    </rPh>
    <rPh sb="6" eb="7">
      <t>オト</t>
    </rPh>
    <phoneticPr fontId="1"/>
  </si>
  <si>
    <t>おがくず投入</t>
    <rPh sb="4" eb="6">
      <t>トウニュウ</t>
    </rPh>
    <phoneticPr fontId="1"/>
  </si>
  <si>
    <t>蒸し箱から出す</t>
    <rPh sb="0" eb="1">
      <t>ム</t>
    </rPh>
    <rPh sb="2" eb="3">
      <t>バコ</t>
    </rPh>
    <rPh sb="5" eb="6">
      <t>ダ</t>
    </rPh>
    <phoneticPr fontId="1"/>
  </si>
  <si>
    <t>ホワワワワ～</t>
    <phoneticPr fontId="1"/>
  </si>
  <si>
    <t>水洗い中</t>
    <rPh sb="0" eb="2">
      <t>ミズアラ</t>
    </rPh>
    <rPh sb="3" eb="4">
      <t>ナカ</t>
    </rPh>
    <phoneticPr fontId="1"/>
  </si>
  <si>
    <t>じゃぶじゃぶ</t>
    <phoneticPr fontId="1"/>
  </si>
  <si>
    <t>水揚げ</t>
    <rPh sb="0" eb="2">
      <t>ミズア</t>
    </rPh>
    <phoneticPr fontId="1"/>
  </si>
  <si>
    <t>キラキラ　ぽたぽた</t>
    <phoneticPr fontId="1"/>
  </si>
  <si>
    <t>完成</t>
    <rPh sb="0" eb="2">
      <t>カンセイ</t>
    </rPh>
    <phoneticPr fontId="1"/>
  </si>
  <si>
    <t>テテーン</t>
    <phoneticPr fontId="1"/>
  </si>
  <si>
    <t>応援ボタン押下</t>
    <rPh sb="0" eb="2">
      <t>オウエン</t>
    </rPh>
    <rPh sb="5" eb="7">
      <t>オウカ</t>
    </rPh>
    <phoneticPr fontId="1"/>
  </si>
  <si>
    <t>ホイッスル？　ワーワー</t>
    <phoneticPr fontId="1"/>
  </si>
  <si>
    <t>開始カウントダウン</t>
    <rPh sb="0" eb="2">
      <t>カイシ</t>
    </rPh>
    <phoneticPr fontId="1"/>
  </si>
  <si>
    <t>3カウント</t>
    <phoneticPr fontId="1"/>
  </si>
  <si>
    <t>エドッコ召喚</t>
    <rPh sb="4" eb="6">
      <t>ショウカン</t>
    </rPh>
    <phoneticPr fontId="1"/>
  </si>
  <si>
    <t>戦闘開始</t>
    <rPh sb="0" eb="4">
      <t>セントウカイシ</t>
    </rPh>
    <phoneticPr fontId="1"/>
  </si>
  <si>
    <t>戦闘中・武器がぶつかるような音</t>
    <rPh sb="0" eb="3">
      <t>セントウチュウ</t>
    </rPh>
    <rPh sb="4" eb="6">
      <t>ブキ</t>
    </rPh>
    <rPh sb="14" eb="15">
      <t>オト</t>
    </rPh>
    <phoneticPr fontId="1"/>
  </si>
  <si>
    <t>ボカスカの中でランダム再生</t>
    <rPh sb="5" eb="6">
      <t>ナカ</t>
    </rPh>
    <rPh sb="11" eb="13">
      <t>サイセイ</t>
    </rPh>
    <phoneticPr fontId="1"/>
  </si>
  <si>
    <t>戦闘終了</t>
    <rPh sb="0" eb="4">
      <t>セントウシュウリョウ</t>
    </rPh>
    <phoneticPr fontId="1"/>
  </si>
  <si>
    <t>敗北</t>
    <rPh sb="0" eb="2">
      <t>ハイボク</t>
    </rPh>
    <phoneticPr fontId="1"/>
  </si>
  <si>
    <t>勝利</t>
    <rPh sb="0" eb="2">
      <t>ショウリ</t>
    </rPh>
    <phoneticPr fontId="1"/>
  </si>
  <si>
    <t>アイテム獲得</t>
    <rPh sb="4" eb="6">
      <t>カクトク</t>
    </rPh>
    <phoneticPr fontId="1"/>
  </si>
  <si>
    <t>ていさつリザルトでの獲得も同様？</t>
    <rPh sb="10" eb="12">
      <t>カクトク</t>
    </rPh>
    <rPh sb="13" eb="15">
      <t>ドウヨウ</t>
    </rPh>
    <phoneticPr fontId="1"/>
  </si>
  <si>
    <t>お金獲得</t>
    <rPh sb="1" eb="2">
      <t>カネ</t>
    </rPh>
    <rPh sb="2" eb="4">
      <t>カクトク</t>
    </rPh>
    <phoneticPr fontId="1"/>
  </si>
  <si>
    <t>発話音-男-子供</t>
    <rPh sb="0" eb="3">
      <t>ハツワオン</t>
    </rPh>
    <rPh sb="4" eb="5">
      <t>オトコ</t>
    </rPh>
    <rPh sb="6" eb="8">
      <t>コドモ</t>
    </rPh>
    <phoneticPr fontId="1"/>
  </si>
  <si>
    <t>ポポポポポ？</t>
    <phoneticPr fontId="1"/>
  </si>
  <si>
    <t>発話音-男-青年</t>
    <rPh sb="0" eb="3">
      <t>ハツワオン</t>
    </rPh>
    <rPh sb="4" eb="5">
      <t>オトコ</t>
    </rPh>
    <rPh sb="6" eb="8">
      <t>セイネン</t>
    </rPh>
    <phoneticPr fontId="1"/>
  </si>
  <si>
    <t>発話音-男-大人</t>
    <rPh sb="0" eb="3">
      <t>ハツワオン</t>
    </rPh>
    <rPh sb="4" eb="5">
      <t>オトコ</t>
    </rPh>
    <rPh sb="6" eb="8">
      <t>オトナ</t>
    </rPh>
    <phoneticPr fontId="1"/>
  </si>
  <si>
    <t>発話音-女-子供</t>
    <rPh sb="0" eb="3">
      <t>ハツワオン</t>
    </rPh>
    <rPh sb="4" eb="5">
      <t>オンナ</t>
    </rPh>
    <rPh sb="6" eb="8">
      <t>コドモ</t>
    </rPh>
    <phoneticPr fontId="1"/>
  </si>
  <si>
    <t>発話音-女-青年</t>
    <rPh sb="0" eb="3">
      <t>ハツワオン</t>
    </rPh>
    <rPh sb="4" eb="5">
      <t>オンナ</t>
    </rPh>
    <rPh sb="6" eb="8">
      <t>セイネン</t>
    </rPh>
    <phoneticPr fontId="1"/>
  </si>
  <si>
    <t>発話音-女-大人</t>
    <rPh sb="0" eb="3">
      <t>ハツ_x0000__x0000__x0003_</t>
    </rPh>
    <rPh sb="4" eb="5">
      <t>_x0005__x0004__x0001_</t>
    </rPh>
    <rPh sb="6" eb="8">
      <t/>
    </rPh>
    <phoneticPr fontId="1"/>
  </si>
  <si>
    <t>決定音</t>
    <rPh sb="0" eb="2">
      <t>ケッテイ</t>
    </rPh>
    <rPh sb="2" eb="3">
      <t>オト</t>
    </rPh>
    <phoneticPr fontId="1"/>
  </si>
  <si>
    <t>ピコッ。かわいらしい感じ。</t>
  </si>
  <si>
    <t>キャンセル音</t>
    <rPh sb="5" eb="6">
      <t>オト</t>
    </rPh>
    <phoneticPr fontId="1"/>
  </si>
  <si>
    <t>ポップな印象。</t>
  </si>
  <si>
    <t>タイトル</t>
    <phoneticPr fontId="1"/>
  </si>
  <si>
    <t>工房前？</t>
    <rPh sb="0" eb="3">
      <t>コウボウマエ</t>
    </rPh>
    <phoneticPr fontId="1"/>
  </si>
  <si>
    <t>https://min-chi.material.jp/fm/bg_c/building/</t>
  </si>
  <si>
    <t>https://min-chi.material.jp/fm/bg_c/basement_room/</t>
  </si>
  <si>
    <t>ショップ選び　おでかけ</t>
    <rPh sb="4" eb="5">
      <t>エラ</t>
    </rPh>
    <phoneticPr fontId="1"/>
  </si>
  <si>
    <t>https://min-chi.material.jp/fm/bg_c/shopping_arcade/</t>
  </si>
  <si>
    <t>ショップ-生地</t>
    <rPh sb="5" eb="7">
      <t>キジ</t>
    </rPh>
    <phoneticPr fontId="1"/>
  </si>
  <si>
    <t>https://min-chi.material.jp/fm/bg_c/jp_entrance_hall/</t>
  </si>
  <si>
    <t>ショップ-型紙</t>
    <rPh sb="5" eb="7">
      <t>カタガミ</t>
    </rPh>
    <phoneticPr fontId="1"/>
  </si>
  <si>
    <t>https://min-chi.material.jp/fm/bg_c/used_bookstore/</t>
  </si>
  <si>
    <t>ショップ-染料</t>
    <rPh sb="5" eb="7">
      <t>センリョウ</t>
    </rPh>
    <phoneticPr fontId="1"/>
  </si>
  <si>
    <t>https://min-chi.material.jp/fm/bg_c/bar/</t>
  </si>
  <si>
    <t>ショップ-職人道具</t>
    <rPh sb="5" eb="9">
      <t>ショクニンドウグ</t>
    </rPh>
    <phoneticPr fontId="1"/>
  </si>
  <si>
    <t>ショップ-家具</t>
    <rPh sb="5" eb="7">
      <t>カグ</t>
    </rPh>
    <phoneticPr fontId="1"/>
  </si>
  <si>
    <t>東京都？</t>
    <rPh sb="0" eb="3">
      <t>トウキョウト</t>
    </rPh>
    <phoneticPr fontId="1"/>
  </si>
  <si>
    <t>icon-お金アイコン</t>
    <rPh sb="6" eb="7">
      <t>カネ</t>
    </rPh>
    <phoneticPr fontId="1"/>
  </si>
  <si>
    <t>https://nkzacjp-my.sharepoint.com/my?id=%2Fpersonal%2Ftk210069%5Ftks%5Fiput%5Fac%5Fjp%2FDocuments%2FProject%2DSAME%2F%E7%B4%A0%E6%9D%90%2FUI%2FIcon&amp;sortField=LinkFilename&amp;isAscending=true</t>
  </si>
  <si>
    <t>icon-戻るボタン</t>
    <rPh sb="5" eb="6">
      <t>モド</t>
    </rPh>
    <phoneticPr fontId="1"/>
  </si>
  <si>
    <t>icon-ハンバーガーメニューボタン</t>
    <phoneticPr fontId="1"/>
  </si>
  <si>
    <t>作業場-小紋づくりボタン</t>
    <rPh sb="0" eb="3">
      <t>サギョウバ</t>
    </rPh>
    <rPh sb="4" eb="6">
      <t>コモン</t>
    </rPh>
    <phoneticPr fontId="1"/>
  </si>
  <si>
    <t>作業場-アイテムづくりボタン</t>
    <rPh sb="0" eb="3">
      <t>サギョウバ</t>
    </rPh>
    <phoneticPr fontId="1"/>
  </si>
  <si>
    <t>icon-各アイテムのアイコン</t>
    <rPh sb="5" eb="6">
      <t>カク</t>
    </rPh>
    <phoneticPr fontId="1"/>
  </si>
  <si>
    <t>メッセージウィンドウ</t>
    <phoneticPr fontId="1"/>
  </si>
  <si>
    <t>frame</t>
  </si>
  <si>
    <t>https://nkzacjp-my.sharepoint.com/my?id=%2Fpersonal%2Ftk210069%5Ftks%5Fiput%5Fac%5Fjp%2FDocuments%2FProject%2DSAME%2F%E7%B4%A0%E6%9D%90%2FUI&amp;sortField=LinkFilename&amp;isAscending=true</t>
  </si>
  <si>
    <t>情報表示UI</t>
    <rPh sb="0" eb="4">
      <t>ジョウホウヒョウジ</t>
    </rPh>
    <phoneticPr fontId="1"/>
  </si>
  <si>
    <t>メッセージウィンドウと共通？</t>
    <rPh sb="11" eb="13">
      <t>キョウツウ</t>
    </rPh>
    <phoneticPr fontId="1"/>
  </si>
  <si>
    <t>型紙　タイル表示する</t>
    <rPh sb="0" eb="2">
      <t>カタガミ</t>
    </rPh>
    <rPh sb="6" eb="8">
      <t>ヒョウジ</t>
    </rPh>
    <phoneticPr fontId="1"/>
  </si>
  <si>
    <t>白抜き</t>
    <rPh sb="0" eb="2">
      <t>シロヌ</t>
    </rPh>
    <phoneticPr fontId="1"/>
  </si>
  <si>
    <t>アプリアイコン-前景</t>
    <rPh sb="8" eb="10">
      <t>ゼンケイ</t>
    </rPh>
    <phoneticPr fontId="1"/>
  </si>
  <si>
    <t>アプリアイコン-背景</t>
    <rPh sb="8" eb="10">
      <t>ハイケイ</t>
    </rPh>
    <phoneticPr fontId="1"/>
  </si>
  <si>
    <t>ばつ</t>
  </si>
  <si>
    <t>はいボタン</t>
  </si>
  <si>
    <t>いいえボタン</t>
  </si>
  <si>
    <t>汎用性の高い台座的な何か</t>
  </si>
  <si>
    <t>icon-店</t>
  </si>
  <si>
    <t>名前フレーム</t>
  </si>
  <si>
    <t>吹き出し</t>
  </si>
  <si>
    <t>scenePart</t>
    <phoneticPr fontId="1"/>
  </si>
  <si>
    <t>A_Home</t>
    <phoneticPr fontId="1"/>
  </si>
  <si>
    <t>C_Battle</t>
    <phoneticPr fontId="1"/>
  </si>
  <si>
    <t>Other</t>
    <phoneticPr fontId="1"/>
  </si>
  <si>
    <t>ワー　各エドッコの勝敗が決するたびに再生？</t>
    <rPh sb="3" eb="4">
      <t>カク</t>
    </rPh>
    <rPh sb="9" eb="11">
      <t>ショウハイ</t>
    </rPh>
    <rPh sb="12" eb="13">
      <t>ケッ</t>
    </rPh>
    <rPh sb="18" eb="20">
      <t>サイセイ</t>
    </rPh>
    <phoneticPr fontId="1"/>
  </si>
  <si>
    <t>歓声1</t>
    <rPh sb="0" eb="2">
      <t>カンセイ</t>
    </rPh>
    <phoneticPr fontId="1"/>
  </si>
  <si>
    <t>歓声2</t>
    <rPh sb="0" eb="2">
      <t>カンセイ</t>
    </rPh>
    <phoneticPr fontId="1"/>
  </si>
  <si>
    <t>歓声3</t>
    <rPh sb="0" eb="2">
      <t>カンセイ</t>
    </rPh>
    <phoneticPr fontId="1"/>
  </si>
  <si>
    <t>効果音ラボ「スタジアムのざわめき」</t>
    <rPh sb="0" eb="3">
      <t>コウカオン</t>
    </rPh>
    <phoneticPr fontId="1"/>
  </si>
  <si>
    <t>効果音ラボ「歓声」</t>
    <phoneticPr fontId="1"/>
  </si>
  <si>
    <t>効果音ラボ「スタジアムの歓声1」</t>
    <phoneticPr fontId="1"/>
  </si>
  <si>
    <t>効果音ラボ「合戦場で軍勢が突撃」</t>
    <phoneticPr fontId="1"/>
  </si>
  <si>
    <t>着地</t>
    <rPh sb="0" eb="2">
      <t>チャクチ</t>
    </rPh>
    <phoneticPr fontId="1"/>
  </si>
  <si>
    <t>スタッ</t>
    <phoneticPr fontId="1"/>
  </si>
  <si>
    <t>効果音ラボ</t>
    <rPh sb="0" eb="3">
      <t>コウカオン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</si>
</sst>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2"/>
      <color rgb="FF000000"/>
      <name val="游ゴシック"/>
      <family val="2"/>
      <charset val="128"/>
      <scheme val="minor"/>
    </font>
    <font>
      <sz val="12"/>
      <color theme="0" tint="-0.249977111117893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>
      <alignment vertical="center"/>
    </xf>
    <xf numFmtId="0" fontId="2" fillId="2" borderId="0" xfId="1" applyFill="1" applyBorder="1" applyAlignment="1">
      <alignment vertical="center" wrapText="1"/>
    </xf>
    <xf numFmtId="0" fontId="2" fillId="0" borderId="0" xfId="1" applyFill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vertical="center" wrapText="1"/>
    </xf>
    <xf numFmtId="0" fontId="2" fillId="0" borderId="0" xfId="1">
      <alignment vertical="center"/>
    </xf>
  </cellXfs>
  <cellStyles count="2">
    <cellStyle name="Hyperlink" xfId="1" xr:uid="{00000000-000B-0000-0000-000008000000}"/>
    <cellStyle name="標準" xfId="0" builtinId="0"/>
  </cellStyles>
  <dxfs count="26">
    <dxf>
      <numFmt numFmtId="0" formatCode="General"/>
    </dxf>
    <dxf>
      <alignment wrapText="1"/>
    </dxf>
    <dxf>
      <numFmt numFmtId="0" formatCode="General"/>
    </dxf>
    <dxf>
      <alignment wrapText="1"/>
    </dxf>
    <dxf>
      <alignment vertical="top" wrapText="1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wrapText="1"/>
    </dxf>
    <dxf>
      <alignment wrapText="1"/>
    </dxf>
    <dxf>
      <alignment horizontal="left" vertical="top" textRotation="0" wrapText="1" indent="0" justifyLastLine="0" shrinkToFit="0" readingOrder="0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81BA87-BCED-47F0-B7DE-E48CCB747A02}" name="テーブル1458" displayName="テーブル1458" ref="A1:H2" totalsRowShown="0">
  <autoFilter ref="A1:H2" xr:uid="{7281BA87-BCED-47F0-B7DE-E48CCB747A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206CEAF-77E1-4B29-8DBF-0CF1EC55FD3E}" name="No"/>
    <tableColumn id="5" xr3:uid="{B23F5FF7-59B8-4F48-97CD-556B78DA4EB7}" name="part"/>
    <tableColumn id="2" xr3:uid="{B107D834-FF92-48E1-97CF-717D10550E39}" name="どこの場面"/>
    <tableColumn id="3" xr3:uid="{6FBDFDAE-0570-4BF0-A004-A79CE8DE10F1}" name="雰囲気" dataDxfId="25"/>
    <tableColumn id="6" xr3:uid="{11222D2B-742E-4089-90C4-723A8E213653}" name="備考" dataDxfId="24"/>
    <tableColumn id="8" xr3:uid="{DD0F6FA9-B45C-4B59-A5AD-D8FAA546D407}" name="素材URL" dataDxfId="23"/>
    <tableColumn id="4" xr3:uid="{F060D83A-D181-4BC4-A5B0-76309590FCA0}" name="出典" dataDxfId="22"/>
    <tableColumn id="7" xr3:uid="{AABF590C-19F3-4B86-8D93-D6AC676FA328}" name="文字の伝わりやすさ参考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EF1364-ED63-48F0-BD08-2BD9F529BA02}" name="テーブル1456" displayName="テーブル1456" ref="A1:F47" totalsRowShown="0" headerRowDxfId="20" dataDxfId="19">
  <autoFilter ref="A1:F47" xr:uid="{84EF1364-ED63-48F0-BD08-2BD9F529BA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E43">
    <sortCondition ref="B1:B43"/>
  </sortState>
  <tableColumns count="6">
    <tableColumn id="1" xr3:uid="{E4A0F1FB-57C9-41A6-AD12-89583F9FC730}" name="No" dataDxfId="18">
      <calculatedColumnFormula>ROW()-2</calculatedColumnFormula>
    </tableColumn>
    <tableColumn id="6" xr3:uid="{22E74E36-7C47-4BA3-9263-1389FD9E84C2}" name="part" dataDxfId="17"/>
    <tableColumn id="2" xr3:uid="{167355C4-3665-4F92-92CC-A7ABAD8B6101}" name="どこの場面" dataDxfId="16"/>
    <tableColumn id="3" xr3:uid="{9DAF8764-39DD-4911-AB05-6ED233CA8B4A}" name="雰囲気" dataDxfId="15"/>
    <tableColumn id="4" xr3:uid="{CE22D5AE-BC8C-4D7F-B3B3-F2DAC1C3D562}" name="備考" dataDxfId="14"/>
    <tableColumn id="7" xr3:uid="{24EE1B73-3CA5-423B-B3EA-4F99934B92BA}" name="出典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92F1DD-B1F0-4746-8883-B36B30D1BD41}" name="テーブル14564" displayName="テーブル14564" ref="A1:F28" totalsRowShown="0" headerRowDxfId="12" dataDxfId="11">
  <autoFilter ref="A1:F28" xr:uid="{84EF1364-ED63-48F0-BD08-2BD9F529BA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E23">
    <sortCondition ref="B1:B23"/>
  </sortState>
  <tableColumns count="6">
    <tableColumn id="1" xr3:uid="{E4ADE988-E6A4-46FE-92A6-BEBC10BA6F67}" name="No" dataDxfId="10">
      <calculatedColumnFormula>ROW()-2</calculatedColumnFormula>
    </tableColumn>
    <tableColumn id="6" xr3:uid="{E2EFFA86-883F-4069-BFEE-5945B9A0746F}" name="part" dataDxfId="9"/>
    <tableColumn id="2" xr3:uid="{BDC2FE4B-26E8-43CE-A5EB-040A7B3B7993}" name="どこの場面" dataDxfId="8"/>
    <tableColumn id="3" xr3:uid="{19189CDC-8D00-46E1-8CE2-E241DE2D85CC}" name="雰囲気" dataDxfId="7"/>
    <tableColumn id="4" xr3:uid="{5741F554-B5A6-4731-8AEE-D906EF75A5CA}" name="備考" dataDxfId="6"/>
    <tableColumn id="7" xr3:uid="{4FC45F63-ACB5-42B4-847A-A3B0B107E090}" name="出典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9D5171-9812-4060-9F56-3401AD05180A}" name="テーブル1452" displayName="テーブル1452" ref="A1:F73" totalsRowShown="0">
  <autoFilter ref="A1:F73" xr:uid="{ED25BB99-256D-440E-BD95-E9288C5E67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D53">
    <sortCondition ref="B1:B53"/>
  </sortState>
  <tableColumns count="6">
    <tableColumn id="1" xr3:uid="{88445D13-AC2E-4383-B9C0-43756D60B9BC}" name="No">
      <calculatedColumnFormula>ROW()-2</calculatedColumnFormula>
    </tableColumn>
    <tableColumn id="5" xr3:uid="{1ED9085B-BC9A-4862-8BC0-F5E91DE4299D}" name="part"/>
    <tableColumn id="2" xr3:uid="{D0EF73F5-42D0-4C3C-8D72-C9CE105955CC}" name="どこの場面"/>
    <tableColumn id="3" xr3:uid="{2EA344A9-CFC6-4DC1-A6A6-49EB416532AE}" name="雰囲気"/>
    <tableColumn id="4" xr3:uid="{5D14DDAD-BD69-4477-82DE-A1BFC91E9F88}" name="備考"/>
    <tableColumn id="6" xr3:uid="{8348BF8E-7DAB-4C14-B9FA-F455EBE4DA9E}" name="出典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EF03D-98FC-49E4-95E2-B70FAD320C49}" name="テーブル145" displayName="テーブル145" ref="A1:E3" totalsRowShown="0">
  <autoFilter ref="A1:E3" xr:uid="{ED25BB99-256D-440E-BD95-E9288C5E67C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C55C929-97A4-4536-9F94-17CAA22866E8}" name="No">
      <calculatedColumnFormula>ROW()-2</calculatedColumnFormula>
    </tableColumn>
    <tableColumn id="2" xr3:uid="{3BAA77CE-9DC3-44AF-B288-A059D09DDBA7}" name="どこの場面"/>
    <tableColumn id="3" xr3:uid="{ADB341DA-4EE8-4851-BF09-9C99CE3ECA0A}" name="雰囲気"/>
    <tableColumn id="4" xr3:uid="{4490FE75-A5E2-4B5E-BA8A-0994D45D3B61}" name="備考"/>
    <tableColumn id="5" xr3:uid="{389DC7FB-7C2F-432F-B799-971F1FA2AD37}" name="出典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CFF0FB-A180-49FA-BCE1-C2A4DC8143F0}" name="テーブル14597" displayName="テーブル14597" ref="A1:F10" totalsRowShown="0">
  <autoFilter ref="A1:F10" xr:uid="{ED25BB99-256D-440E-BD95-E9288C5E67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15">
    <sortCondition ref="B1:B15"/>
  </sortState>
  <tableColumns count="6">
    <tableColumn id="1" xr3:uid="{A7A8B844-8A2F-4E5E-A98D-8B49764FB3B3}" name="No" dataDxfId="2">
      <calculatedColumnFormula>ROW()-2</calculatedColumnFormula>
    </tableColumn>
    <tableColumn id="5" xr3:uid="{CDE99139-73BA-4009-B6E6-1AE136D9CED4}" name="part"/>
    <tableColumn id="2" xr3:uid="{D5F1E1AC-0A7F-47C0-8C0C-C439E6BADC93}" name="どこの場面"/>
    <tableColumn id="3" xr3:uid="{A2A39BA0-7B4A-4B7A-BD39-1A1D97381E33}" name="雰囲気"/>
    <tableColumn id="6" xr3:uid="{68D4975E-B55D-41B1-9C4A-7C369EC8B0A2}" name="備考"/>
    <tableColumn id="4" xr3:uid="{E9A9013D-9912-47BA-9BFE-0241ECBFDC7C}" name="素材URL" data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960CF6-D3CC-41B1-98CF-E85B509B2FB7}" name="テーブル1459" displayName="テーブル1459" ref="A1:F21" totalsRowShown="0">
  <autoFilter ref="A1:F21" xr:uid="{ED25BB99-256D-440E-BD95-E9288C5E67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13">
    <sortCondition ref="B1:B13"/>
  </sortState>
  <tableColumns count="6">
    <tableColumn id="1" xr3:uid="{5DF1E6EB-F980-4D36-8823-5F19D4130336}" name="No" dataDxfId="0">
      <calculatedColumnFormula>ROW()-2</calculatedColumnFormula>
    </tableColumn>
    <tableColumn id="5" xr3:uid="{3FF7E6AD-DD23-46AD-9EF1-08F80E048901}" name="part"/>
    <tableColumn id="2" xr3:uid="{D558ECC8-98EB-4B87-BC64-8E8CD137F839}" name="どこの場面"/>
    <tableColumn id="3" xr3:uid="{954D8331-E37F-4C37-8BBA-0D32F70C996E}" name="雰囲気"/>
    <tableColumn id="6" xr3:uid="{D11D6130-974C-4152-85E3-652A06C02FB8}" name="備考"/>
    <tableColumn id="4" xr3:uid="{F562918D-0FA6-4A47-9524-4435F001DB07}" name="素材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1F7E28-A22D-42C1-A1D8-AB6F9A19E12C}" name="scenePart" displayName="scenePart" ref="A1:A5" totalsRowShown="0">
  <autoFilter ref="A1:A5" xr:uid="{CD1F7E28-A22D-42C1-A1D8-AB6F9A19E12C}"/>
  <tableColumns count="1">
    <tableColumn id="1" xr3:uid="{E685BDBC-18E0-47FF-954C-F3BDCEFEEFEE}" name="sceneP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:u:/r/personal/tk210069_tks_iput_ac_jp/Documents/Project-SAME/%E7%B4%A0%E6%9D%90/Font/BIZ_UDPGothic/BIZUDPGothic-Regular.ttf?csf=1&amp;web=1&amp;e=OByFT0" TargetMode="External"/><Relationship Id="rId2" Type="http://schemas.openxmlformats.org/officeDocument/2006/relationships/hyperlink" Target="https://tsutawarudesign.com/universal2.html" TargetMode="External"/><Relationship Id="rId1" Type="http://schemas.openxmlformats.org/officeDocument/2006/relationships/hyperlink" Target="https://fonts.google.com/specimen/BIZ+UDPGothic/license?preview=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oundcloud.com/sn6wmusic/morning-assembly-c?utm_source=sn6wmusic.com&amp;utm_campaign=wtshare&amp;utm_medium=widget&amp;utm_content=https%253A%252F%252Fsoundcloud.com%252Fsn6wmusic%252Fmorning-assembly-c" TargetMode="External"/><Relationship Id="rId13" Type="http://schemas.openxmlformats.org/officeDocument/2006/relationships/hyperlink" Target="https://soundcloud.com/sn6wmusic/purple-clouds-short?utm_source=sn6wmusic.com&amp;utm_campaign=wtshare&amp;utm_medium=widget&amp;utm_content=https%253A%252F%252Fsoundcloud.com%252Fsn6wmusic%252Fpurple-clouds-short" TargetMode="External"/><Relationship Id="rId18" Type="http://schemas.openxmlformats.org/officeDocument/2006/relationships/table" Target="../tables/table2.xml"/><Relationship Id="rId3" Type="http://schemas.openxmlformats.org/officeDocument/2006/relationships/hyperlink" Target="https://shw.in/old/audio/history_main_off.mp3" TargetMode="External"/><Relationship Id="rId7" Type="http://schemas.openxmlformats.org/officeDocument/2006/relationships/hyperlink" Target="https://soundcloud.com/sn6wmusic/sugar-donut?utm_source=sn6wmusic.com&amp;utm_campaign=wtshare&amp;utm_medium=widget&amp;utm_content=https%253A%252F%252Fsoundcloud.com%252Fsn6wmusic%252Fsugar-donut" TargetMode="External"/><Relationship Id="rId12" Type="http://schemas.openxmlformats.org/officeDocument/2006/relationships/hyperlink" Target="https://soundcloud.com/sn6wmusic/belly-buu?utm_source=sn6wmusic.com&amp;utm_campaign=wtshare&amp;utm_medium=widget&amp;utm_content=https%253A%252F%252Fsoundcloud.com%252Fsn6wmusic%252Fbelly-buu" TargetMode="External"/><Relationship Id="rId17" Type="http://schemas.openxmlformats.org/officeDocument/2006/relationships/hyperlink" Target="https://amachamusic.chagasi.com/mp3/yoiyaminoseaside.mp3" TargetMode="External"/><Relationship Id="rId2" Type="http://schemas.openxmlformats.org/officeDocument/2006/relationships/hyperlink" Target="https://shw.in/old/audio/kingdom_mixv2.mp3" TargetMode="External"/><Relationship Id="rId16" Type="http://schemas.openxmlformats.org/officeDocument/2006/relationships/hyperlink" Target="https://shw.in/old/audio/kohannomura.mp3" TargetMode="External"/><Relationship Id="rId1" Type="http://schemas.openxmlformats.org/officeDocument/2006/relationships/hyperlink" Target="https://shw.in/old/audio/gareki.mp3" TargetMode="External"/><Relationship Id="rId6" Type="http://schemas.openxmlformats.org/officeDocument/2006/relationships/hyperlink" Target="https://shw.in/old/audio/hometown_mixv2.mp3" TargetMode="External"/><Relationship Id="rId11" Type="http://schemas.openxmlformats.org/officeDocument/2006/relationships/hyperlink" Target="https://soundcloud.com/sn6wmusic/unfamiliar-street?utm_source=sn6wmusic.com&amp;utm_campaign=wtshare&amp;utm_medium=widget&amp;utm_content=https%253A%252F%252Fsoundcloud.com%252Fsn6wmusic%252Funfamiliar-street" TargetMode="External"/><Relationship Id="rId5" Type="http://schemas.openxmlformats.org/officeDocument/2006/relationships/hyperlink" Target="https://shw.in/old/audio/history.mp3" TargetMode="External"/><Relationship Id="rId15" Type="http://schemas.openxmlformats.org/officeDocument/2006/relationships/hyperlink" Target="https://amachamusic.chagasi.com/mp3/rokugatsunoenrai.mp3" TargetMode="External"/><Relationship Id="rId10" Type="http://schemas.openxmlformats.org/officeDocument/2006/relationships/hyperlink" Target="https://soundcloud.com/sn6wmusic/someday-somewhere?utm_source=sn6wmusic.com&amp;utm_campaign=wtshare&amp;utm_medium=widget&amp;utm_content=https%253A%252F%252Fsoundcloud.com%252Fsn6wmusic%252Fsomeday-somewhere" TargetMode="External"/><Relationship Id="rId4" Type="http://schemas.openxmlformats.org/officeDocument/2006/relationships/hyperlink" Target="https://shw.in/old/audio/ikusa_japan2.mp3" TargetMode="External"/><Relationship Id="rId9" Type="http://schemas.openxmlformats.org/officeDocument/2006/relationships/hyperlink" Target="https://soundcloud.com/sn6wmusic/no-ones-dream?utm_source=sn6wmusic.com&amp;utm_campaign=wtshare&amp;utm_medium=widget&amp;utm_content=https%253A%252F%252Fsoundcloud.com%252Fsn6wmusic%252Fno-ones-dream" TargetMode="External"/><Relationship Id="rId14" Type="http://schemas.openxmlformats.org/officeDocument/2006/relationships/hyperlink" Target="https://soundcloud.com/sn6wmusic/your-true-self-ii?utm_source=sn6wmusic.com&amp;utm_campaign=wtshare&amp;utm_medium=widget&amp;utm_content=https%253A%252F%252Fsoundcloud.com%252Fsn6wmusic%252Fyour-true-self-i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oundeffect-lab.info/" TargetMode="External"/><Relationship Id="rId2" Type="http://schemas.openxmlformats.org/officeDocument/2006/relationships/hyperlink" Target="https://soundeffect-lab.info/" TargetMode="External"/><Relationship Id="rId1" Type="http://schemas.openxmlformats.org/officeDocument/2006/relationships/hyperlink" Target="https://soundeffect-lab.info/" TargetMode="Externa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soundeffect-lab.info/" TargetMode="External"/><Relationship Id="rId18" Type="http://schemas.openxmlformats.org/officeDocument/2006/relationships/hyperlink" Target="https://soundeffect-lab.info/" TargetMode="External"/><Relationship Id="rId26" Type="http://schemas.openxmlformats.org/officeDocument/2006/relationships/hyperlink" Target="https://soundeffect-lab.info/" TargetMode="External"/><Relationship Id="rId3" Type="http://schemas.openxmlformats.org/officeDocument/2006/relationships/hyperlink" Target="https://soundeffect-lab.info/" TargetMode="External"/><Relationship Id="rId21" Type="http://schemas.openxmlformats.org/officeDocument/2006/relationships/hyperlink" Target="https://soundeffect-lab.info/" TargetMode="External"/><Relationship Id="rId34" Type="http://schemas.openxmlformats.org/officeDocument/2006/relationships/hyperlink" Target="https://soundeffect-lab.info/" TargetMode="External"/><Relationship Id="rId7" Type="http://schemas.openxmlformats.org/officeDocument/2006/relationships/hyperlink" Target="https://soundeffect-lab.info/" TargetMode="External"/><Relationship Id="rId12" Type="http://schemas.openxmlformats.org/officeDocument/2006/relationships/hyperlink" Target="https://soundeffect-lab.info/" TargetMode="External"/><Relationship Id="rId17" Type="http://schemas.openxmlformats.org/officeDocument/2006/relationships/hyperlink" Target="https://soundeffect-lab.info/" TargetMode="External"/><Relationship Id="rId25" Type="http://schemas.openxmlformats.org/officeDocument/2006/relationships/hyperlink" Target="https://soundeffect-lab.info/" TargetMode="External"/><Relationship Id="rId33" Type="http://schemas.openxmlformats.org/officeDocument/2006/relationships/hyperlink" Target="https://soundeffect-lab.info/" TargetMode="External"/><Relationship Id="rId2" Type="http://schemas.openxmlformats.org/officeDocument/2006/relationships/hyperlink" Target="https://soundeffect-lab.info/" TargetMode="External"/><Relationship Id="rId16" Type="http://schemas.openxmlformats.org/officeDocument/2006/relationships/hyperlink" Target="https://soundeffect-lab.info/" TargetMode="External"/><Relationship Id="rId20" Type="http://schemas.openxmlformats.org/officeDocument/2006/relationships/hyperlink" Target="https://soundeffect-lab.info/" TargetMode="External"/><Relationship Id="rId29" Type="http://schemas.openxmlformats.org/officeDocument/2006/relationships/hyperlink" Target="https://soundeffect-lab.info/" TargetMode="External"/><Relationship Id="rId1" Type="http://schemas.openxmlformats.org/officeDocument/2006/relationships/hyperlink" Target="https://soundeffect-lab.info/" TargetMode="External"/><Relationship Id="rId6" Type="http://schemas.openxmlformats.org/officeDocument/2006/relationships/hyperlink" Target="https://soundeffect-lab.info/" TargetMode="External"/><Relationship Id="rId11" Type="http://schemas.openxmlformats.org/officeDocument/2006/relationships/hyperlink" Target="https://soundeffect-lab.info/" TargetMode="External"/><Relationship Id="rId24" Type="http://schemas.openxmlformats.org/officeDocument/2006/relationships/hyperlink" Target="https://soundeffect-lab.info/" TargetMode="External"/><Relationship Id="rId32" Type="http://schemas.openxmlformats.org/officeDocument/2006/relationships/hyperlink" Target="https://soundeffect-lab.info/" TargetMode="External"/><Relationship Id="rId5" Type="http://schemas.openxmlformats.org/officeDocument/2006/relationships/hyperlink" Target="https://soundeffect-lab.info/" TargetMode="External"/><Relationship Id="rId15" Type="http://schemas.openxmlformats.org/officeDocument/2006/relationships/hyperlink" Target="https://soundeffect-lab.info/" TargetMode="External"/><Relationship Id="rId23" Type="http://schemas.openxmlformats.org/officeDocument/2006/relationships/hyperlink" Target="https://soundeffect-lab.info/" TargetMode="External"/><Relationship Id="rId28" Type="http://schemas.openxmlformats.org/officeDocument/2006/relationships/hyperlink" Target="https://soundeffect-lab.info/" TargetMode="External"/><Relationship Id="rId10" Type="http://schemas.openxmlformats.org/officeDocument/2006/relationships/hyperlink" Target="https://soundeffect-lab.info/" TargetMode="External"/><Relationship Id="rId19" Type="http://schemas.openxmlformats.org/officeDocument/2006/relationships/hyperlink" Target="https://soundeffect-lab.info/" TargetMode="External"/><Relationship Id="rId31" Type="http://schemas.openxmlformats.org/officeDocument/2006/relationships/hyperlink" Target="https://soundeffect-lab.info/" TargetMode="External"/><Relationship Id="rId4" Type="http://schemas.openxmlformats.org/officeDocument/2006/relationships/hyperlink" Target="https://soundeffect-lab.info/" TargetMode="External"/><Relationship Id="rId9" Type="http://schemas.openxmlformats.org/officeDocument/2006/relationships/hyperlink" Target="https://soundeffect-lab.info/" TargetMode="External"/><Relationship Id="rId14" Type="http://schemas.openxmlformats.org/officeDocument/2006/relationships/hyperlink" Target="https://soundeffect-lab.info/" TargetMode="External"/><Relationship Id="rId22" Type="http://schemas.openxmlformats.org/officeDocument/2006/relationships/hyperlink" Target="https://soundeffect-lab.info/" TargetMode="External"/><Relationship Id="rId27" Type="http://schemas.openxmlformats.org/officeDocument/2006/relationships/hyperlink" Target="https://soundeffect-lab.info/" TargetMode="External"/><Relationship Id="rId30" Type="http://schemas.openxmlformats.org/officeDocument/2006/relationships/hyperlink" Target="https://soundeffect-lab.info/" TargetMode="External"/><Relationship Id="rId35" Type="http://schemas.openxmlformats.org/officeDocument/2006/relationships/table" Target="../tables/table4.xml"/><Relationship Id="rId8" Type="http://schemas.openxmlformats.org/officeDocument/2006/relationships/hyperlink" Target="https://soundeffect-lab.inf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https://soundeffect-lab.info/" TargetMode="External"/><Relationship Id="rId1" Type="http://schemas.openxmlformats.org/officeDocument/2006/relationships/hyperlink" Target="https://soundeffect-lab.info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min-chi.material.jp/fm/bg_c/shopping_arcade/" TargetMode="External"/><Relationship Id="rId7" Type="http://schemas.openxmlformats.org/officeDocument/2006/relationships/table" Target="../tables/table6.xml"/><Relationship Id="rId2" Type="http://schemas.openxmlformats.org/officeDocument/2006/relationships/hyperlink" Target="https://min-chi.material.jp/fm/bg_c/building/" TargetMode="External"/><Relationship Id="rId1" Type="http://schemas.openxmlformats.org/officeDocument/2006/relationships/hyperlink" Target="https://min-chi.material.jp/fm/bg_c/basement_room/" TargetMode="External"/><Relationship Id="rId6" Type="http://schemas.openxmlformats.org/officeDocument/2006/relationships/hyperlink" Target="https://min-chi.material.jp/fm/bg_c/jp_entrance_hall/" TargetMode="External"/><Relationship Id="rId5" Type="http://schemas.openxmlformats.org/officeDocument/2006/relationships/hyperlink" Target="https://min-chi.material.jp/fm/bg_c/used_bookstore/" TargetMode="External"/><Relationship Id="rId4" Type="http://schemas.openxmlformats.org/officeDocument/2006/relationships/hyperlink" Target="https://min-chi.material.jp/fm/bg_c/bar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my?id=%2Fpersonal%2Ftk210069%5Ftks%5Fiput%5Fac%5Fjp%2FDocuments%2FProject%2DSAME%2F%E7%B4%A0%E6%9D%90%2FUI&amp;sortField=LinkFilename&amp;isAscending=true" TargetMode="External"/><Relationship Id="rId3" Type="http://schemas.openxmlformats.org/officeDocument/2006/relationships/hyperlink" Target="../../../../../my?id=%2Fpersonal%2Ftk210069%5Ftks%5Fiput%5Fac%5Fjp%2FDocuments%2FProject%2DSAME%2F%E7%B4%A0%E6%9D%90%2FUI%2FIcon&amp;sortField=LinkFilename&amp;isAscending=true" TargetMode="External"/><Relationship Id="rId7" Type="http://schemas.openxmlformats.org/officeDocument/2006/relationships/hyperlink" Target="../../../../../my?id=%2Fpersonal%2Ftk210069%5Ftks%5Fiput%5Fac%5Fjp%2FDocuments%2FProject%2DSAME%2F%E7%B4%A0%E6%9D%90%2FUI&amp;sortField=LinkFilename&amp;isAscending=true" TargetMode="External"/><Relationship Id="rId12" Type="http://schemas.openxmlformats.org/officeDocument/2006/relationships/table" Target="../tables/table7.xml"/><Relationship Id="rId2" Type="http://schemas.openxmlformats.org/officeDocument/2006/relationships/hyperlink" Target="../../../../../my?id=%2Fpersonal%2Ftk210069%5Ftks%5Fiput%5Fac%5Fjp%2FDocuments%2FProject%2DSAME%2F%E7%B4%A0%E6%9D%90%2FUI%2FIcon&amp;sortField=LinkFilename&amp;isAscending=true" TargetMode="External"/><Relationship Id="rId1" Type="http://schemas.openxmlformats.org/officeDocument/2006/relationships/hyperlink" Target="../../../../../my?id=%2Fpersonal%2Ftk210069%5Ftks%5Fiput%5Fac%5Fjp%2FDocuments%2FProject%2DSAME%2F%E7%B4%A0%E6%9D%90%2FUI%2FIcon&amp;sortField=LinkFilename&amp;isAscending=true" TargetMode="External"/><Relationship Id="rId6" Type="http://schemas.openxmlformats.org/officeDocument/2006/relationships/hyperlink" Target="../../../../../my?id=%2Fpersonal%2Ftk210069%5Ftks%5Fiput%5Fac%5Fjp%2FDocuments%2FProject%2DSAME%2F%E7%B4%A0%E6%9D%90%2FUI&amp;sortField=LinkFilename&amp;isAscending=true" TargetMode="External"/><Relationship Id="rId11" Type="http://schemas.openxmlformats.org/officeDocument/2006/relationships/hyperlink" Target="../../../../../my?id=%2Fpersonal%2Ftk210069%5Ftks%5Fiput%5Fac%5Fjp%2FDocuments%2FProject%2DSAME%2F%E7%B4%A0%E6%9D%90%2FUI&amp;sortField=LinkFilename&amp;isAscending=true" TargetMode="External"/><Relationship Id="rId5" Type="http://schemas.openxmlformats.org/officeDocument/2006/relationships/hyperlink" Target="../../../../../my?id=%2Fpersonal%2Ftk210069%5Ftks%5Fiput%5Fac%5Fjp%2FDocuments%2FProject%2DSAME%2F%E7%B4%A0%E6%9D%90%2FUI%2FIcon&amp;sortField=LinkFilename&amp;isAscending=true" TargetMode="External"/><Relationship Id="rId10" Type="http://schemas.openxmlformats.org/officeDocument/2006/relationships/hyperlink" Target="../../../../../my?id=%2Fpersonal%2Ftk210069%5Ftks%5Fiput%5Fac%5Fjp%2FDocuments%2FProject%2DSAME%2F%E7%B4%A0%E6%9D%90%2FUI&amp;sortField=LinkFilename&amp;isAscending=true" TargetMode="External"/><Relationship Id="rId4" Type="http://schemas.openxmlformats.org/officeDocument/2006/relationships/hyperlink" Target="../../../../../my?id=%2Fpersonal%2Ftk210069%5Ftks%5Fiput%5Fac%5Fjp%2FDocuments%2FProject%2DSAME%2F%E7%B4%A0%E6%9D%90%2FUI%2FIcon&amp;sortField=LinkFilename&amp;isAscending=true" TargetMode="External"/><Relationship Id="rId9" Type="http://schemas.openxmlformats.org/officeDocument/2006/relationships/hyperlink" Target="../../../../../my?id=%2Fpersonal%2Ftk210069%5Ftks%5Fiput%5Fac%5Fjp%2FDocuments%2FProject%2DSAME%2F%E7%B4%A0%E6%9D%90%2FUI&amp;sortField=LinkFilename&amp;isAscending=tru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56C3-882D-3141-AE4B-472E26841842}">
  <dimension ref="A1:H2"/>
  <sheetViews>
    <sheetView workbookViewId="0">
      <selection activeCell="F7" sqref="F7"/>
    </sheetView>
  </sheetViews>
  <sheetFormatPr defaultColWidth="11.5546875" defaultRowHeight="19.5" x14ac:dyDescent="0.4"/>
  <cols>
    <col min="1" max="1" width="3.88671875" customWidth="1"/>
    <col min="2" max="2" width="6.109375" bestFit="1" customWidth="1"/>
    <col min="3" max="3" width="15.5546875" customWidth="1"/>
    <col min="4" max="4" width="40.109375" style="1" customWidth="1"/>
    <col min="5" max="5" width="10.6640625" style="3" customWidth="1"/>
    <col min="6" max="6" width="17.33203125" customWidth="1"/>
    <col min="7" max="7" width="36.88671875" style="1" customWidth="1"/>
    <col min="8" max="8" width="27" style="1" customWidth="1"/>
  </cols>
  <sheetData>
    <row r="1" spans="1:8" x14ac:dyDescent="0.4">
      <c r="A1" t="s">
        <v>0</v>
      </c>
      <c r="B1" t="s">
        <v>1</v>
      </c>
      <c r="C1" t="s">
        <v>2</v>
      </c>
      <c r="D1" s="1" t="s">
        <v>3</v>
      </c>
      <c r="E1" s="3" t="s">
        <v>4</v>
      </c>
      <c r="F1" t="s">
        <v>5</v>
      </c>
      <c r="G1" s="1" t="s">
        <v>6</v>
      </c>
      <c r="H1" s="1" t="s">
        <v>7</v>
      </c>
    </row>
    <row r="2" spans="1:8" ht="60" customHeight="1" x14ac:dyDescent="0.4">
      <c r="A2">
        <v>0</v>
      </c>
      <c r="C2" t="s">
        <v>8</v>
      </c>
      <c r="D2" s="1" t="s">
        <v>9</v>
      </c>
      <c r="E2" s="4" t="s">
        <v>10</v>
      </c>
      <c r="F2" s="5" t="s">
        <v>11</v>
      </c>
      <c r="G2" s="2" t="s">
        <v>12</v>
      </c>
      <c r="H2" s="2" t="s">
        <v>13</v>
      </c>
    </row>
  </sheetData>
  <phoneticPr fontId="1"/>
  <dataValidations count="1">
    <dataValidation type="list" allowBlank="1" showInputMessage="1" showErrorMessage="1" sqref="B2" xr:uid="{A12BA412-B4A0-46B5-8272-5987684BD7C8}">
      <formula1>INDIRECT("scenePart")</formula1>
    </dataValidation>
  </dataValidations>
  <hyperlinks>
    <hyperlink ref="G2" r:id="rId1" xr:uid="{C7785E0C-D053-46AD-B1C2-7359A1443EEE}"/>
    <hyperlink ref="H2" r:id="rId2" xr:uid="{FB33F378-CF64-4725-8C6D-72990B674FEC}"/>
    <hyperlink ref="F2" r:id="rId3" xr:uid="{B0DCDF2F-2127-4F75-8A63-6827DC7456B0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364B-17C1-824F-905F-FC2CA23F061B}">
  <dimension ref="A1:F47"/>
  <sheetViews>
    <sheetView topLeftCell="A4" workbookViewId="0">
      <selection activeCell="E1" sqref="E1"/>
    </sheetView>
  </sheetViews>
  <sheetFormatPr defaultColWidth="11.5546875" defaultRowHeight="41.25" customHeight="1" x14ac:dyDescent="0.4"/>
  <cols>
    <col min="1" max="1" width="5.109375" bestFit="1" customWidth="1"/>
    <col min="2" max="5" width="30.77734375" customWidth="1"/>
    <col min="6" max="6" width="30.77734375" style="8" customWidth="1"/>
  </cols>
  <sheetData>
    <row r="1" spans="1:6" ht="19.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6</v>
      </c>
    </row>
    <row r="2" spans="1:6" ht="41.25" customHeight="1" x14ac:dyDescent="0.4">
      <c r="A2" s="1">
        <f t="shared" ref="A2:A43" si="0">ROW()-2</f>
        <v>0</v>
      </c>
      <c r="B2" s="1" t="s">
        <v>14</v>
      </c>
      <c r="C2" s="1" t="s">
        <v>15</v>
      </c>
      <c r="D2" s="1"/>
      <c r="E2" s="1" t="s">
        <v>16</v>
      </c>
      <c r="F2" s="7" t="s">
        <v>17</v>
      </c>
    </row>
    <row r="3" spans="1:6" ht="41.25" customHeight="1" x14ac:dyDescent="0.4">
      <c r="A3" s="1">
        <f t="shared" si="0"/>
        <v>1</v>
      </c>
      <c r="B3" s="1" t="s">
        <v>14</v>
      </c>
      <c r="C3" s="1" t="s">
        <v>18</v>
      </c>
      <c r="D3" s="1"/>
      <c r="E3" s="1" t="s">
        <v>16</v>
      </c>
      <c r="F3" s="7" t="s">
        <v>19</v>
      </c>
    </row>
    <row r="4" spans="1:6" ht="41.25" customHeight="1" x14ac:dyDescent="0.4">
      <c r="A4" s="1">
        <f t="shared" si="0"/>
        <v>2</v>
      </c>
      <c r="B4" s="1" t="s">
        <v>14</v>
      </c>
      <c r="C4" s="1" t="s">
        <v>20</v>
      </c>
      <c r="D4" s="1"/>
      <c r="E4" s="1" t="s">
        <v>16</v>
      </c>
      <c r="F4" s="7" t="s">
        <v>21</v>
      </c>
    </row>
    <row r="5" spans="1:6" ht="41.25" customHeight="1" x14ac:dyDescent="0.4">
      <c r="A5" s="1">
        <f t="shared" si="0"/>
        <v>3</v>
      </c>
      <c r="B5" s="1" t="s">
        <v>14</v>
      </c>
      <c r="C5" s="14" t="s">
        <v>22</v>
      </c>
      <c r="D5" s="1"/>
      <c r="E5" s="1" t="s">
        <v>23</v>
      </c>
      <c r="F5" s="7" t="s">
        <v>24</v>
      </c>
    </row>
    <row r="6" spans="1:6" ht="41.25" customHeight="1" x14ac:dyDescent="0.4">
      <c r="A6" s="1">
        <f t="shared" si="0"/>
        <v>4</v>
      </c>
      <c r="B6" s="1" t="s">
        <v>14</v>
      </c>
      <c r="C6" s="1" t="s">
        <v>25</v>
      </c>
      <c r="D6" s="1" t="s">
        <v>26</v>
      </c>
      <c r="E6" s="1" t="s">
        <v>16</v>
      </c>
      <c r="F6" s="7" t="s">
        <v>27</v>
      </c>
    </row>
    <row r="7" spans="1:6" ht="41.25" customHeight="1" x14ac:dyDescent="0.4">
      <c r="A7" s="1">
        <f t="shared" si="0"/>
        <v>5</v>
      </c>
      <c r="B7" s="1" t="s">
        <v>14</v>
      </c>
      <c r="C7" s="1" t="s">
        <v>28</v>
      </c>
      <c r="D7" s="1"/>
      <c r="E7" s="1" t="s">
        <v>29</v>
      </c>
      <c r="F7" s="7" t="s">
        <v>30</v>
      </c>
    </row>
    <row r="8" spans="1:6" ht="41.25" customHeight="1" x14ac:dyDescent="0.4">
      <c r="A8" s="1">
        <f t="shared" si="0"/>
        <v>6</v>
      </c>
      <c r="B8" s="1" t="s">
        <v>14</v>
      </c>
      <c r="C8" s="1" t="s">
        <v>31</v>
      </c>
      <c r="D8" s="1"/>
      <c r="E8" s="1" t="s">
        <v>29</v>
      </c>
      <c r="F8" s="6"/>
    </row>
    <row r="9" spans="1:6" ht="41.25" customHeight="1" x14ac:dyDescent="0.4">
      <c r="A9" s="1">
        <f t="shared" si="0"/>
        <v>7</v>
      </c>
      <c r="B9" s="1" t="s">
        <v>14</v>
      </c>
      <c r="C9" s="1" t="s">
        <v>32</v>
      </c>
      <c r="D9" s="1"/>
      <c r="E9" s="1" t="s">
        <v>29</v>
      </c>
      <c r="F9" s="6"/>
    </row>
    <row r="10" spans="1:6" ht="41.25" customHeight="1" x14ac:dyDescent="0.4">
      <c r="A10" s="1">
        <f t="shared" si="0"/>
        <v>8</v>
      </c>
      <c r="B10" s="1" t="s">
        <v>14</v>
      </c>
      <c r="C10" s="1" t="s">
        <v>33</v>
      </c>
      <c r="D10" s="1"/>
      <c r="E10" s="1" t="s">
        <v>29</v>
      </c>
      <c r="F10" s="6"/>
    </row>
    <row r="11" spans="1:6" ht="41.25" customHeight="1" x14ac:dyDescent="0.4">
      <c r="A11" s="1">
        <f t="shared" si="0"/>
        <v>9</v>
      </c>
      <c r="B11" s="1" t="s">
        <v>14</v>
      </c>
      <c r="C11" s="1" t="s">
        <v>34</v>
      </c>
      <c r="D11" s="1"/>
      <c r="E11" s="1" t="s">
        <v>29</v>
      </c>
      <c r="F11" s="6"/>
    </row>
    <row r="12" spans="1:6" ht="41.25" customHeight="1" x14ac:dyDescent="0.4">
      <c r="A12" s="1">
        <f t="shared" si="0"/>
        <v>10</v>
      </c>
      <c r="B12" s="1" t="s">
        <v>14</v>
      </c>
      <c r="C12" s="1" t="s">
        <v>35</v>
      </c>
      <c r="D12" s="1" t="s">
        <v>36</v>
      </c>
      <c r="E12" s="1" t="s">
        <v>16</v>
      </c>
      <c r="F12" s="7" t="s">
        <v>37</v>
      </c>
    </row>
    <row r="13" spans="1:6" ht="41.25" customHeight="1" x14ac:dyDescent="0.4">
      <c r="A13" s="1">
        <f t="shared" si="0"/>
        <v>11</v>
      </c>
      <c r="B13" s="1" t="s">
        <v>14</v>
      </c>
      <c r="C13" s="1" t="s">
        <v>38</v>
      </c>
      <c r="D13" s="1" t="s">
        <v>39</v>
      </c>
      <c r="E13" s="1" t="s">
        <v>40</v>
      </c>
      <c r="F13" s="7" t="s">
        <v>41</v>
      </c>
    </row>
    <row r="14" spans="1:6" ht="41.25" customHeight="1" x14ac:dyDescent="0.4">
      <c r="A14" s="1">
        <f t="shared" si="0"/>
        <v>12</v>
      </c>
      <c r="B14" s="1" t="s">
        <v>14</v>
      </c>
      <c r="C14" s="1" t="s">
        <v>42</v>
      </c>
      <c r="D14" s="1"/>
      <c r="E14" s="1" t="s">
        <v>16</v>
      </c>
      <c r="F14" s="7" t="s">
        <v>43</v>
      </c>
    </row>
    <row r="15" spans="1:6" ht="41.25" customHeight="1" x14ac:dyDescent="0.4">
      <c r="A15" s="1">
        <f t="shared" si="0"/>
        <v>13</v>
      </c>
      <c r="B15" s="1" t="s">
        <v>14</v>
      </c>
      <c r="C15" s="1" t="s">
        <v>44</v>
      </c>
      <c r="D15" s="1" t="s">
        <v>45</v>
      </c>
      <c r="E15" s="1" t="s">
        <v>46</v>
      </c>
      <c r="F15" s="7" t="s">
        <v>47</v>
      </c>
    </row>
    <row r="16" spans="1:6" ht="41.25" customHeight="1" x14ac:dyDescent="0.4">
      <c r="A16" s="1">
        <f t="shared" si="0"/>
        <v>14</v>
      </c>
      <c r="B16" s="1" t="s">
        <v>14</v>
      </c>
      <c r="C16" s="1" t="s">
        <v>48</v>
      </c>
      <c r="D16" s="1"/>
      <c r="E16" s="1" t="s">
        <v>16</v>
      </c>
      <c r="F16" s="7" t="s">
        <v>49</v>
      </c>
    </row>
    <row r="17" spans="1:6" ht="41.25" customHeight="1" x14ac:dyDescent="0.4">
      <c r="A17" s="1">
        <f t="shared" si="0"/>
        <v>15</v>
      </c>
      <c r="B17" s="1" t="s">
        <v>14</v>
      </c>
      <c r="C17" s="1"/>
      <c r="D17" s="1"/>
      <c r="E17" s="1"/>
      <c r="F17" s="6"/>
    </row>
    <row r="18" spans="1:6" ht="41.25" customHeight="1" x14ac:dyDescent="0.4">
      <c r="A18" s="1">
        <f t="shared" si="0"/>
        <v>16</v>
      </c>
      <c r="B18" s="1" t="s">
        <v>14</v>
      </c>
      <c r="C18" s="1"/>
      <c r="D18" s="1"/>
      <c r="E18" s="1"/>
      <c r="F18" s="6"/>
    </row>
    <row r="19" spans="1:6" ht="41.25" customHeight="1" x14ac:dyDescent="0.4">
      <c r="A19" s="1">
        <f t="shared" si="0"/>
        <v>17</v>
      </c>
      <c r="B19" s="1" t="s">
        <v>14</v>
      </c>
      <c r="C19" s="1"/>
      <c r="D19" s="1"/>
      <c r="E19" s="1"/>
      <c r="F19" s="6"/>
    </row>
    <row r="20" spans="1:6" ht="41.25" customHeight="1" x14ac:dyDescent="0.4">
      <c r="A20" s="1">
        <f t="shared" si="0"/>
        <v>18</v>
      </c>
      <c r="B20" s="1" t="s">
        <v>14</v>
      </c>
      <c r="C20" s="1"/>
      <c r="D20" s="1"/>
      <c r="E20" s="1"/>
      <c r="F20" s="6"/>
    </row>
    <row r="21" spans="1:6" ht="41.25" customHeight="1" x14ac:dyDescent="0.4">
      <c r="A21" s="1">
        <f t="shared" si="0"/>
        <v>19</v>
      </c>
      <c r="B21" s="1" t="s">
        <v>14</v>
      </c>
      <c r="C21" s="1"/>
      <c r="D21" s="1"/>
      <c r="E21" s="1"/>
      <c r="F21" s="6"/>
    </row>
    <row r="22" spans="1:6" ht="41.25" customHeight="1" x14ac:dyDescent="0.4">
      <c r="A22" s="1">
        <f t="shared" si="0"/>
        <v>20</v>
      </c>
      <c r="B22" s="1" t="s">
        <v>50</v>
      </c>
      <c r="C22" s="1" t="s">
        <v>51</v>
      </c>
      <c r="D22" s="1" t="s">
        <v>52</v>
      </c>
      <c r="E22" s="1" t="s">
        <v>53</v>
      </c>
      <c r="F22" s="6"/>
    </row>
    <row r="23" spans="1:6" ht="41.25" customHeight="1" x14ac:dyDescent="0.4">
      <c r="A23" s="1">
        <f t="shared" si="0"/>
        <v>21</v>
      </c>
      <c r="B23" s="1" t="s">
        <v>54</v>
      </c>
      <c r="C23" s="1" t="s">
        <v>55</v>
      </c>
      <c r="D23" s="1" t="s">
        <v>52</v>
      </c>
      <c r="E23" s="1"/>
      <c r="F23" s="6"/>
    </row>
    <row r="24" spans="1:6" ht="41.25" customHeight="1" x14ac:dyDescent="0.4">
      <c r="A24" s="1">
        <f t="shared" si="0"/>
        <v>22</v>
      </c>
      <c r="B24" s="1" t="s">
        <v>54</v>
      </c>
      <c r="C24" s="1" t="s">
        <v>56</v>
      </c>
      <c r="D24" s="1" t="s">
        <v>52</v>
      </c>
      <c r="E24" s="1"/>
      <c r="F24" s="6"/>
    </row>
    <row r="25" spans="1:6" ht="41.25" customHeight="1" x14ac:dyDescent="0.4">
      <c r="A25" s="1">
        <f t="shared" si="0"/>
        <v>23</v>
      </c>
      <c r="B25" s="1" t="s">
        <v>54</v>
      </c>
      <c r="C25" s="1" t="s">
        <v>57</v>
      </c>
      <c r="D25" s="1"/>
      <c r="E25" s="1" t="s">
        <v>16</v>
      </c>
      <c r="F25" s="7" t="s">
        <v>58</v>
      </c>
    </row>
    <row r="26" spans="1:6" ht="41.25" customHeight="1" x14ac:dyDescent="0.4">
      <c r="A26" s="1">
        <f t="shared" si="0"/>
        <v>24</v>
      </c>
      <c r="B26" s="1" t="s">
        <v>54</v>
      </c>
      <c r="C26" s="1"/>
      <c r="D26" s="1"/>
      <c r="E26" s="1"/>
      <c r="F26" s="6"/>
    </row>
    <row r="27" spans="1:6" ht="41.25" customHeight="1" x14ac:dyDescent="0.4">
      <c r="A27" s="1">
        <f t="shared" si="0"/>
        <v>25</v>
      </c>
      <c r="B27" s="1" t="s">
        <v>54</v>
      </c>
      <c r="C27" s="1"/>
      <c r="D27" s="1"/>
      <c r="E27" s="1"/>
      <c r="F27" s="6"/>
    </row>
    <row r="28" spans="1:6" ht="41.25" customHeight="1" x14ac:dyDescent="0.4">
      <c r="A28" s="1">
        <f t="shared" si="0"/>
        <v>26</v>
      </c>
      <c r="B28" s="1" t="s">
        <v>54</v>
      </c>
      <c r="C28" s="1"/>
      <c r="D28" s="1"/>
      <c r="E28" s="1"/>
      <c r="F28" s="6"/>
    </row>
    <row r="29" spans="1:6" ht="41.25" customHeight="1" x14ac:dyDescent="0.4">
      <c r="A29" s="1">
        <f t="shared" si="0"/>
        <v>27</v>
      </c>
      <c r="B29" s="1" t="s">
        <v>54</v>
      </c>
      <c r="C29" s="1"/>
      <c r="D29" s="1"/>
      <c r="E29" s="1"/>
      <c r="F29" s="6"/>
    </row>
    <row r="30" spans="1:6" ht="41.25" customHeight="1" x14ac:dyDescent="0.4">
      <c r="A30" s="1">
        <f t="shared" si="0"/>
        <v>28</v>
      </c>
      <c r="B30" s="1" t="s">
        <v>54</v>
      </c>
      <c r="C30" s="1"/>
      <c r="D30" s="1"/>
      <c r="E30" s="1"/>
      <c r="F30" s="6"/>
    </row>
    <row r="31" spans="1:6" ht="41.25" customHeight="1" x14ac:dyDescent="0.4">
      <c r="A31" s="1">
        <f t="shared" si="0"/>
        <v>29</v>
      </c>
      <c r="B31" s="1" t="s">
        <v>59</v>
      </c>
      <c r="C31" s="1" t="s">
        <v>60</v>
      </c>
      <c r="D31" s="1"/>
      <c r="E31" s="1" t="s">
        <v>16</v>
      </c>
      <c r="F31" s="7" t="s">
        <v>61</v>
      </c>
    </row>
    <row r="32" spans="1:6" ht="41.25" customHeight="1" x14ac:dyDescent="0.4">
      <c r="A32" s="1">
        <f t="shared" si="0"/>
        <v>30</v>
      </c>
      <c r="B32" s="1" t="s">
        <v>59</v>
      </c>
      <c r="C32" s="1" t="s">
        <v>62</v>
      </c>
      <c r="D32" s="1"/>
      <c r="E32" s="1" t="s">
        <v>16</v>
      </c>
      <c r="F32" s="7" t="s">
        <v>63</v>
      </c>
    </row>
    <row r="33" spans="1:6" ht="41.25" customHeight="1" x14ac:dyDescent="0.4">
      <c r="A33" s="1">
        <f t="shared" si="0"/>
        <v>31</v>
      </c>
      <c r="B33" s="1" t="s">
        <v>59</v>
      </c>
      <c r="C33" s="1" t="s">
        <v>64</v>
      </c>
      <c r="D33" s="1"/>
      <c r="E33" s="1" t="s">
        <v>16</v>
      </c>
      <c r="F33" s="7" t="s">
        <v>65</v>
      </c>
    </row>
    <row r="34" spans="1:6" ht="41.25" customHeight="1" x14ac:dyDescent="0.4">
      <c r="A34" s="1">
        <f t="shared" si="0"/>
        <v>32</v>
      </c>
      <c r="B34" s="1" t="s">
        <v>59</v>
      </c>
      <c r="C34" s="1" t="s">
        <v>57</v>
      </c>
      <c r="D34" s="1"/>
      <c r="E34" s="1" t="s">
        <v>16</v>
      </c>
      <c r="F34" s="7" t="s">
        <v>66</v>
      </c>
    </row>
    <row r="35" spans="1:6" ht="41.25" customHeight="1" x14ac:dyDescent="0.4">
      <c r="A35" s="1">
        <f t="shared" si="0"/>
        <v>33</v>
      </c>
      <c r="B35" s="1" t="s">
        <v>59</v>
      </c>
      <c r="C35" s="1"/>
      <c r="D35" s="1"/>
      <c r="E35" s="1"/>
      <c r="F35" s="6"/>
    </row>
    <row r="36" spans="1:6" ht="41.25" customHeight="1" x14ac:dyDescent="0.4">
      <c r="A36" s="1">
        <f t="shared" si="0"/>
        <v>34</v>
      </c>
      <c r="B36" s="1" t="s">
        <v>59</v>
      </c>
      <c r="C36" s="1"/>
      <c r="D36" s="1"/>
      <c r="E36" s="1"/>
      <c r="F36" s="6"/>
    </row>
    <row r="37" spans="1:6" ht="41.25" customHeight="1" x14ac:dyDescent="0.4">
      <c r="A37" s="1">
        <f t="shared" si="0"/>
        <v>35</v>
      </c>
      <c r="B37" s="1" t="s">
        <v>59</v>
      </c>
      <c r="C37" s="1"/>
      <c r="D37" s="1"/>
      <c r="E37" s="1"/>
      <c r="F37" s="6"/>
    </row>
    <row r="38" spans="1:6" ht="41.25" customHeight="1" x14ac:dyDescent="0.4">
      <c r="A38" s="1">
        <f t="shared" si="0"/>
        <v>36</v>
      </c>
      <c r="B38" s="1" t="s">
        <v>59</v>
      </c>
      <c r="C38" s="1"/>
      <c r="D38" s="1"/>
      <c r="E38" s="1"/>
      <c r="F38" s="6"/>
    </row>
    <row r="39" spans="1:6" ht="41.25" customHeight="1" x14ac:dyDescent="0.4">
      <c r="A39" s="1">
        <f t="shared" si="0"/>
        <v>37</v>
      </c>
      <c r="B39" s="1" t="s">
        <v>59</v>
      </c>
      <c r="C39" s="1"/>
      <c r="D39" s="1"/>
      <c r="E39" s="1"/>
      <c r="F39" s="6"/>
    </row>
    <row r="40" spans="1:6" ht="41.25" customHeight="1" x14ac:dyDescent="0.4">
      <c r="A40" s="1">
        <f t="shared" si="0"/>
        <v>38</v>
      </c>
      <c r="B40" s="1" t="s">
        <v>67</v>
      </c>
      <c r="C40" s="1" t="s">
        <v>68</v>
      </c>
      <c r="D40" s="1"/>
      <c r="E40" s="1" t="s">
        <v>69</v>
      </c>
      <c r="F40" s="6"/>
    </row>
    <row r="41" spans="1:6" ht="41.25" customHeight="1" x14ac:dyDescent="0.4">
      <c r="A41" s="1">
        <f t="shared" si="0"/>
        <v>39</v>
      </c>
      <c r="B41" s="1" t="s">
        <v>67</v>
      </c>
      <c r="C41" s="1" t="s">
        <v>70</v>
      </c>
      <c r="D41" s="1"/>
      <c r="E41" s="1" t="s">
        <v>16</v>
      </c>
      <c r="F41" s="7" t="s">
        <v>71</v>
      </c>
    </row>
    <row r="42" spans="1:6" ht="41.25" customHeight="1" x14ac:dyDescent="0.4">
      <c r="A42" s="1">
        <f t="shared" si="0"/>
        <v>40</v>
      </c>
      <c r="B42" s="1" t="s">
        <v>67</v>
      </c>
      <c r="C42" s="1"/>
      <c r="D42" s="1"/>
      <c r="E42" s="1"/>
      <c r="F42" s="6"/>
    </row>
    <row r="43" spans="1:6" ht="41.25" customHeight="1" x14ac:dyDescent="0.4">
      <c r="A43" s="1">
        <f t="shared" si="0"/>
        <v>41</v>
      </c>
      <c r="B43" s="1" t="s">
        <v>67</v>
      </c>
      <c r="C43" s="1"/>
      <c r="D43" s="1"/>
      <c r="E43" s="1"/>
      <c r="F43" s="6"/>
    </row>
    <row r="44" spans="1:6" ht="41.25" customHeight="1" x14ac:dyDescent="0.4">
      <c r="A44" s="1">
        <f t="shared" ref="A44:A45" si="1">ROW()-2</f>
        <v>42</v>
      </c>
      <c r="B44" s="1" t="s">
        <v>67</v>
      </c>
      <c r="C44" s="1"/>
      <c r="D44" s="1"/>
      <c r="E44" s="1"/>
      <c r="F44" s="6"/>
    </row>
    <row r="45" spans="1:6" ht="41.25" customHeight="1" x14ac:dyDescent="0.4">
      <c r="A45" s="1">
        <f t="shared" si="1"/>
        <v>43</v>
      </c>
      <c r="B45" s="1" t="s">
        <v>67</v>
      </c>
      <c r="C45" s="1"/>
      <c r="D45" s="1"/>
      <c r="E45" s="1"/>
      <c r="F45" s="6"/>
    </row>
    <row r="46" spans="1:6" ht="41.25" customHeight="1" x14ac:dyDescent="0.4">
      <c r="A46" s="1">
        <f>ROW()-2</f>
        <v>44</v>
      </c>
      <c r="B46" s="1" t="s">
        <v>67</v>
      </c>
      <c r="C46" s="1"/>
      <c r="D46" s="1"/>
      <c r="E46" s="1"/>
      <c r="F46" s="6"/>
    </row>
    <row r="47" spans="1:6" ht="41.25" customHeight="1" x14ac:dyDescent="0.4">
      <c r="A47" s="1">
        <f>ROW()-2</f>
        <v>45</v>
      </c>
      <c r="B47" s="1"/>
      <c r="C47" s="1"/>
      <c r="D47" s="1"/>
      <c r="E47" s="1"/>
      <c r="F47" s="6"/>
    </row>
  </sheetData>
  <phoneticPr fontId="1"/>
  <dataValidations count="1">
    <dataValidation type="list" allowBlank="1" showInputMessage="1" showErrorMessage="1" sqref="B2:B47" xr:uid="{3E081BBF-325D-4EA0-8BCE-E2E7FCD48C59}">
      <formula1>INDIRECT("scenePart")</formula1>
    </dataValidation>
  </dataValidations>
  <hyperlinks>
    <hyperlink ref="F41" r:id="rId1" xr:uid="{306EF734-BBB6-416A-A477-0CB4420ACD7A}"/>
    <hyperlink ref="F34" r:id="rId2" xr:uid="{01B15CA0-BDF7-4C08-A2EA-8D1998A13366}"/>
    <hyperlink ref="F31" r:id="rId3" xr:uid="{16B8B4C2-C4FD-4C37-BA5F-8BD42C77C332}"/>
    <hyperlink ref="F33" r:id="rId4" xr:uid="{021E27FA-C8FB-4232-B491-EE1C7AB6D9B3}"/>
    <hyperlink ref="F32" r:id="rId5" xr:uid="{BA13B89F-6943-4AB1-BBC6-B38EB8A288C3}"/>
    <hyperlink ref="F6" r:id="rId6" xr:uid="{93995299-DC64-423E-9370-D64FE44AA038}"/>
    <hyperlink ref="F16" r:id="rId7" xr:uid="{C89377D7-1714-4E89-90CD-03A496E7FD3B}"/>
    <hyperlink ref="F25" r:id="rId8" xr:uid="{F2DCFEB6-C621-4F8D-B720-986A38891B15}"/>
    <hyperlink ref="F5" r:id="rId9" xr:uid="{690FFBD0-6F4F-43B9-8FFA-36AEBEBE944B}"/>
    <hyperlink ref="F2" r:id="rId10" xr:uid="{5DCCD6E3-E3B7-49BE-9EB4-92EEEF67A30D}"/>
    <hyperlink ref="F15" r:id="rId11" xr:uid="{5611764E-56FD-4AAE-AB70-217F3F5A4E5B}"/>
    <hyperlink ref="F13" r:id="rId12" xr:uid="{90478439-C16A-4A6C-8B6A-4DAACCE418BA}"/>
    <hyperlink ref="F4" r:id="rId13" xr:uid="{90A55A20-C37B-427A-89A6-5196B5913461}"/>
    <hyperlink ref="F3" r:id="rId14" xr:uid="{B914E836-E8B0-4414-9802-98A4F13B8059}"/>
    <hyperlink ref="F12" r:id="rId15" xr:uid="{85DCEF55-1BD9-4FBD-9C8D-F5AE06DC8C6B}"/>
    <hyperlink ref="F7" r:id="rId16" xr:uid="{521191CB-DCCD-4C4A-BB5D-757A83FADF2F}"/>
    <hyperlink ref="F14" r:id="rId17" xr:uid="{D2109526-95EE-4657-8020-F2902DB9A98D}"/>
  </hyperlinks>
  <pageMargins left="0.7" right="0.7" top="0.75" bottom="0.75" header="0.3" footer="0.3"/>
  <tableParts count="1"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162B-82EF-49E1-9FBF-250FDC096F7B}">
  <dimension ref="A1:F36"/>
  <sheetViews>
    <sheetView topLeftCell="A25" workbookViewId="0">
      <selection activeCell="E16" sqref="E16"/>
    </sheetView>
  </sheetViews>
  <sheetFormatPr defaultColWidth="11.5546875" defaultRowHeight="41.25" customHeight="1" x14ac:dyDescent="0.4"/>
  <cols>
    <col min="1" max="1" width="5.109375" bestFit="1" customWidth="1"/>
    <col min="2" max="6" width="30.77734375" customWidth="1"/>
  </cols>
  <sheetData>
    <row r="1" spans="1:6" s="13" customFormat="1" ht="19.5" x14ac:dyDescent="0.4">
      <c r="A1" s="12" t="s">
        <v>0</v>
      </c>
      <c r="B1" s="12" t="s">
        <v>1</v>
      </c>
      <c r="C1" s="12" t="s">
        <v>2</v>
      </c>
      <c r="D1" s="12" t="s">
        <v>3</v>
      </c>
      <c r="E1" s="1" t="s">
        <v>4</v>
      </c>
      <c r="F1" s="12" t="s">
        <v>6</v>
      </c>
    </row>
    <row r="2" spans="1:6" ht="41.25" customHeight="1" x14ac:dyDescent="0.4">
      <c r="A2" s="1">
        <f t="shared" ref="A2:A23" si="0">ROW()-2</f>
        <v>0</v>
      </c>
      <c r="B2" s="1" t="s">
        <v>14</v>
      </c>
      <c r="C2" s="1" t="s">
        <v>72</v>
      </c>
      <c r="D2" s="1"/>
      <c r="E2" s="1"/>
      <c r="F2" s="10" t="s">
        <v>73</v>
      </c>
    </row>
    <row r="3" spans="1:6" ht="41.25" customHeight="1" x14ac:dyDescent="0.4">
      <c r="A3" s="1">
        <f t="shared" si="0"/>
        <v>1</v>
      </c>
      <c r="B3" s="1" t="s">
        <v>14</v>
      </c>
      <c r="C3" s="1" t="s">
        <v>74</v>
      </c>
      <c r="D3" s="1"/>
      <c r="E3" s="1" t="s">
        <v>75</v>
      </c>
      <c r="F3" s="2"/>
    </row>
    <row r="4" spans="1:6" ht="41.25" customHeight="1" x14ac:dyDescent="0.4">
      <c r="A4" s="1">
        <f t="shared" si="0"/>
        <v>2</v>
      </c>
      <c r="B4" s="1" t="s">
        <v>14</v>
      </c>
      <c r="C4" s="1" t="s">
        <v>76</v>
      </c>
      <c r="D4" s="1"/>
      <c r="E4" s="1"/>
      <c r="F4" s="1"/>
    </row>
    <row r="5" spans="1:6" ht="41.25" customHeight="1" x14ac:dyDescent="0.4">
      <c r="A5" s="1">
        <f t="shared" si="0"/>
        <v>3</v>
      </c>
      <c r="B5" s="1" t="s">
        <v>14</v>
      </c>
      <c r="C5" s="1" t="s">
        <v>77</v>
      </c>
      <c r="D5" s="1" t="s">
        <v>78</v>
      </c>
      <c r="E5" s="1" t="s">
        <v>75</v>
      </c>
      <c r="F5" s="2" t="s">
        <v>73</v>
      </c>
    </row>
    <row r="6" spans="1:6" ht="41.25" customHeight="1" x14ac:dyDescent="0.4">
      <c r="A6" s="1">
        <f t="shared" si="0"/>
        <v>4</v>
      </c>
      <c r="B6" s="1" t="s">
        <v>14</v>
      </c>
      <c r="C6" s="1"/>
      <c r="D6" s="1"/>
      <c r="E6" s="1"/>
      <c r="F6" s="1"/>
    </row>
    <row r="7" spans="1:6" ht="41.25" customHeight="1" x14ac:dyDescent="0.4">
      <c r="A7" s="1">
        <f t="shared" si="0"/>
        <v>5</v>
      </c>
      <c r="B7" s="1" t="s">
        <v>14</v>
      </c>
      <c r="C7" s="1"/>
      <c r="D7" s="1"/>
      <c r="E7" s="1"/>
      <c r="F7" s="1"/>
    </row>
    <row r="8" spans="1:6" ht="41.25" customHeight="1" x14ac:dyDescent="0.4">
      <c r="A8" s="1">
        <f t="shared" si="0"/>
        <v>6</v>
      </c>
      <c r="B8" s="1" t="s">
        <v>14</v>
      </c>
      <c r="C8" s="1"/>
      <c r="D8" s="1"/>
      <c r="E8" s="1"/>
      <c r="F8" s="1"/>
    </row>
    <row r="9" spans="1:6" ht="41.25" customHeight="1" x14ac:dyDescent="0.4">
      <c r="A9" s="1">
        <f t="shared" si="0"/>
        <v>7</v>
      </c>
      <c r="B9" s="1" t="s">
        <v>14</v>
      </c>
      <c r="C9" s="1"/>
      <c r="D9" s="1"/>
      <c r="E9" s="1"/>
      <c r="F9" s="1"/>
    </row>
    <row r="10" spans="1:6" ht="41.25" customHeight="1" x14ac:dyDescent="0.4">
      <c r="A10" s="1">
        <f t="shared" si="0"/>
        <v>8</v>
      </c>
      <c r="B10" s="1" t="s">
        <v>54</v>
      </c>
      <c r="C10" s="1"/>
      <c r="D10" s="1"/>
      <c r="E10" s="1"/>
      <c r="F10" s="1"/>
    </row>
    <row r="11" spans="1:6" ht="41.25" customHeight="1" x14ac:dyDescent="0.4">
      <c r="A11" s="1">
        <f t="shared" si="0"/>
        <v>9</v>
      </c>
      <c r="B11" s="1" t="s">
        <v>54</v>
      </c>
      <c r="C11" s="1"/>
      <c r="D11" s="1"/>
      <c r="E11" s="1"/>
      <c r="F11" s="1"/>
    </row>
    <row r="12" spans="1:6" ht="41.25" customHeight="1" x14ac:dyDescent="0.4">
      <c r="A12" s="1">
        <f t="shared" si="0"/>
        <v>10</v>
      </c>
      <c r="B12" s="1" t="s">
        <v>54</v>
      </c>
      <c r="C12" s="1"/>
      <c r="D12" s="1"/>
      <c r="E12" s="1"/>
      <c r="F12" s="1"/>
    </row>
    <row r="13" spans="1:6" ht="41.25" customHeight="1" x14ac:dyDescent="0.4">
      <c r="A13" s="1">
        <f t="shared" si="0"/>
        <v>11</v>
      </c>
      <c r="B13" s="1" t="s">
        <v>54</v>
      </c>
      <c r="C13" s="1" t="s">
        <v>79</v>
      </c>
      <c r="D13" s="1"/>
      <c r="E13" s="1" t="s">
        <v>75</v>
      </c>
      <c r="F13" s="1"/>
    </row>
    <row r="14" spans="1:6" ht="41.25" customHeight="1" x14ac:dyDescent="0.4">
      <c r="A14" s="1">
        <f t="shared" si="0"/>
        <v>12</v>
      </c>
      <c r="B14" s="1" t="s">
        <v>54</v>
      </c>
      <c r="C14" s="1" t="s">
        <v>80</v>
      </c>
      <c r="D14" s="1" t="s">
        <v>81</v>
      </c>
      <c r="E14" s="1" t="s">
        <v>75</v>
      </c>
      <c r="F14" s="1"/>
    </row>
    <row r="15" spans="1:6" ht="41.25" customHeight="1" x14ac:dyDescent="0.4">
      <c r="A15" s="1">
        <f t="shared" si="0"/>
        <v>13</v>
      </c>
      <c r="B15" s="1" t="s">
        <v>54</v>
      </c>
      <c r="C15" s="1"/>
      <c r="D15" s="1"/>
      <c r="E15" s="1"/>
      <c r="F15" s="1"/>
    </row>
    <row r="16" spans="1:6" ht="41.25" customHeight="1" x14ac:dyDescent="0.4">
      <c r="A16" s="1">
        <f t="shared" si="0"/>
        <v>14</v>
      </c>
      <c r="B16" s="1" t="s">
        <v>54</v>
      </c>
      <c r="C16" s="1"/>
      <c r="D16" s="1"/>
      <c r="E16" s="1"/>
      <c r="F16" s="1"/>
    </row>
    <row r="17" spans="1:6" ht="41.25" customHeight="1" x14ac:dyDescent="0.4">
      <c r="A17" s="1">
        <f t="shared" si="0"/>
        <v>15</v>
      </c>
      <c r="B17" s="1" t="s">
        <v>54</v>
      </c>
      <c r="C17" s="1"/>
      <c r="D17" s="1"/>
      <c r="E17" s="1"/>
      <c r="F17" s="1"/>
    </row>
    <row r="18" spans="1:6" ht="41.25" customHeight="1" x14ac:dyDescent="0.4">
      <c r="A18" s="1">
        <f t="shared" si="0"/>
        <v>16</v>
      </c>
      <c r="B18" s="1" t="s">
        <v>59</v>
      </c>
      <c r="C18" s="1"/>
      <c r="D18" s="1"/>
      <c r="E18" s="1"/>
      <c r="F18" s="1"/>
    </row>
    <row r="19" spans="1:6" ht="41.25" customHeight="1" x14ac:dyDescent="0.4">
      <c r="A19" s="1">
        <f t="shared" si="0"/>
        <v>17</v>
      </c>
      <c r="B19" s="1" t="s">
        <v>59</v>
      </c>
      <c r="C19" s="1"/>
      <c r="D19" s="1"/>
      <c r="E19" s="1"/>
      <c r="F19" s="1"/>
    </row>
    <row r="20" spans="1:6" ht="41.25" customHeight="1" x14ac:dyDescent="0.4">
      <c r="A20" s="1">
        <f t="shared" si="0"/>
        <v>18</v>
      </c>
      <c r="B20" s="1" t="s">
        <v>59</v>
      </c>
      <c r="C20" s="1" t="s">
        <v>86</v>
      </c>
      <c r="D20" s="1" t="s">
        <v>87</v>
      </c>
      <c r="E20" s="1" t="s">
        <v>75</v>
      </c>
      <c r="F20" s="1"/>
    </row>
    <row r="21" spans="1:6" ht="41.25" customHeight="1" x14ac:dyDescent="0.4">
      <c r="A21" s="1">
        <f t="shared" si="0"/>
        <v>19</v>
      </c>
      <c r="B21" s="1" t="s">
        <v>59</v>
      </c>
      <c r="C21" s="1" t="s">
        <v>88</v>
      </c>
      <c r="D21" s="1" t="s">
        <v>87</v>
      </c>
      <c r="E21" s="1" t="s">
        <v>75</v>
      </c>
      <c r="F21" s="1"/>
    </row>
    <row r="22" spans="1:6" ht="41.25" customHeight="1" x14ac:dyDescent="0.4">
      <c r="A22" s="1">
        <f t="shared" si="0"/>
        <v>20</v>
      </c>
      <c r="B22" s="1" t="s">
        <v>59</v>
      </c>
      <c r="C22" s="1" t="s">
        <v>89</v>
      </c>
      <c r="D22" s="1" t="s">
        <v>87</v>
      </c>
      <c r="E22" s="1" t="s">
        <v>75</v>
      </c>
      <c r="F22" s="1"/>
    </row>
    <row r="23" spans="1:6" ht="41.25" customHeight="1" x14ac:dyDescent="0.4">
      <c r="A23" s="1">
        <f t="shared" si="0"/>
        <v>21</v>
      </c>
      <c r="B23" s="1" t="s">
        <v>59</v>
      </c>
      <c r="C23" s="1" t="s">
        <v>90</v>
      </c>
      <c r="D23" s="1"/>
      <c r="E23" s="1" t="s">
        <v>75</v>
      </c>
      <c r="F23" s="2" t="s">
        <v>73</v>
      </c>
    </row>
    <row r="24" spans="1:6" ht="41.25" customHeight="1" x14ac:dyDescent="0.4">
      <c r="A24" s="1">
        <f t="shared" ref="A24:A26" si="1">ROW()-2</f>
        <v>22</v>
      </c>
      <c r="B24" s="1" t="s">
        <v>59</v>
      </c>
      <c r="C24" s="1"/>
      <c r="D24" s="1"/>
      <c r="E24" s="1"/>
      <c r="F24" s="1"/>
    </row>
    <row r="25" spans="1:6" ht="41.25" customHeight="1" x14ac:dyDescent="0.4">
      <c r="A25" s="1">
        <f t="shared" si="1"/>
        <v>23</v>
      </c>
      <c r="B25" s="1" t="s">
        <v>59</v>
      </c>
      <c r="C25" s="1"/>
      <c r="D25" s="1"/>
      <c r="E25" s="1"/>
      <c r="F25" s="1"/>
    </row>
    <row r="26" spans="1:6" ht="41.25" customHeight="1" x14ac:dyDescent="0.4">
      <c r="A26" s="1">
        <f t="shared" si="1"/>
        <v>24</v>
      </c>
      <c r="B26" s="1" t="s">
        <v>59</v>
      </c>
      <c r="C26" s="1"/>
      <c r="D26" s="1"/>
      <c r="E26" s="1"/>
      <c r="F26" s="1"/>
    </row>
    <row r="27" spans="1:6" ht="41.25" customHeight="1" x14ac:dyDescent="0.4">
      <c r="A27" s="1">
        <f t="shared" ref="A27:A28" si="2">ROW()-2</f>
        <v>25</v>
      </c>
      <c r="B27" s="1" t="s">
        <v>59</v>
      </c>
      <c r="C27" s="1"/>
      <c r="D27" s="1"/>
      <c r="E27" s="1"/>
      <c r="F27" s="1"/>
    </row>
    <row r="28" spans="1:6" ht="41.25" customHeight="1" x14ac:dyDescent="0.4">
      <c r="A28" s="1">
        <f t="shared" si="2"/>
        <v>26</v>
      </c>
      <c r="B28" s="1" t="s">
        <v>59</v>
      </c>
      <c r="C28" s="1"/>
      <c r="D28" s="1"/>
      <c r="E28" s="1"/>
      <c r="F28" s="1"/>
    </row>
    <row r="29" spans="1:6" ht="41.25" customHeight="1" x14ac:dyDescent="0.4">
      <c r="A29" s="1"/>
      <c r="B29" s="1"/>
      <c r="C29" s="1"/>
      <c r="D29" s="1"/>
      <c r="E29" s="1"/>
    </row>
    <row r="30" spans="1:6" ht="41.25" customHeight="1" x14ac:dyDescent="0.4">
      <c r="A30" s="1"/>
      <c r="B30" s="1"/>
      <c r="C30" s="1"/>
      <c r="D30" s="1"/>
      <c r="E30" s="1"/>
    </row>
    <row r="31" spans="1:6" ht="41.25" customHeight="1" x14ac:dyDescent="0.4">
      <c r="A31" s="1"/>
      <c r="B31" s="1"/>
      <c r="C31" s="1"/>
      <c r="D31" s="1"/>
      <c r="E31" s="1"/>
    </row>
    <row r="32" spans="1:6" ht="41.25" customHeight="1" x14ac:dyDescent="0.4">
      <c r="A32" s="1"/>
      <c r="B32" s="1"/>
      <c r="C32" s="1"/>
      <c r="D32" s="1"/>
      <c r="E32" s="1"/>
    </row>
    <row r="33" spans="1:5" ht="41.25" customHeight="1" x14ac:dyDescent="0.4">
      <c r="A33" s="1"/>
      <c r="B33" s="1"/>
      <c r="C33" s="1"/>
      <c r="D33" s="1"/>
      <c r="E33" s="1"/>
    </row>
    <row r="34" spans="1:5" ht="41.25" customHeight="1" x14ac:dyDescent="0.4">
      <c r="A34" s="1"/>
      <c r="B34" s="1"/>
      <c r="C34" s="1"/>
      <c r="D34" s="1"/>
      <c r="E34" s="1"/>
    </row>
    <row r="35" spans="1:5" ht="41.25" customHeight="1" x14ac:dyDescent="0.4">
      <c r="A35" s="1"/>
      <c r="B35" s="1"/>
      <c r="C35" s="1"/>
      <c r="D35" s="1"/>
      <c r="E35" s="1"/>
    </row>
    <row r="36" spans="1:5" ht="41.25" customHeight="1" x14ac:dyDescent="0.4">
      <c r="A36" s="1"/>
      <c r="B36" s="1"/>
      <c r="C36" s="1"/>
      <c r="D36" s="1"/>
      <c r="E36" s="1"/>
    </row>
  </sheetData>
  <phoneticPr fontId="1"/>
  <dataValidations count="1">
    <dataValidation type="list" allowBlank="1" showInputMessage="1" showErrorMessage="1" sqref="B2:B28" xr:uid="{A6D896CA-09CB-4BD6-9A1B-08DE1322DF2A}">
      <formula1>INDIRECT("scenePart")</formula1>
    </dataValidation>
  </dataValidations>
  <hyperlinks>
    <hyperlink ref="F2" r:id="rId1" xr:uid="{1DAF0562-9DD9-4A47-9C2D-E466F3A4BA44}"/>
    <hyperlink ref="F5" r:id="rId2" xr:uid="{6F83146E-F89A-4A29-84D7-BC407F66158A}"/>
    <hyperlink ref="F23" r:id="rId3" xr:uid="{8D3ACA5B-A477-4FBE-A89C-723722EDF58A}"/>
  </hyperlinks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A399-439E-4961-BA10-8B081D401F0F}">
  <dimension ref="A1:F73"/>
  <sheetViews>
    <sheetView tabSelected="1" topLeftCell="B61" workbookViewId="0">
      <selection activeCell="F66" sqref="F66"/>
    </sheetView>
  </sheetViews>
  <sheetFormatPr defaultColWidth="11.5546875" defaultRowHeight="41.25" customHeight="1" x14ac:dyDescent="0.4"/>
  <cols>
    <col min="1" max="1" width="5.109375" bestFit="1" customWidth="1"/>
    <col min="2" max="3" width="30.77734375" customWidth="1"/>
    <col min="4" max="4" width="38.44140625" bestFit="1" customWidth="1"/>
    <col min="5" max="5" width="17.44140625" customWidth="1"/>
    <col min="6" max="6" width="30.77734375" style="6" customWidth="1"/>
  </cols>
  <sheetData>
    <row r="1" spans="1:6" ht="19.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6</v>
      </c>
    </row>
    <row r="2" spans="1:6" ht="41.25" customHeight="1" x14ac:dyDescent="0.4">
      <c r="A2">
        <f t="shared" ref="A2:A33" si="0">ROW()-2</f>
        <v>0</v>
      </c>
      <c r="B2" t="s">
        <v>14</v>
      </c>
      <c r="C2" t="s">
        <v>91</v>
      </c>
      <c r="D2" t="s">
        <v>92</v>
      </c>
      <c r="F2" s="7" t="s">
        <v>73</v>
      </c>
    </row>
    <row r="3" spans="1:6" ht="41.25" customHeight="1" x14ac:dyDescent="0.4">
      <c r="A3">
        <f t="shared" si="0"/>
        <v>1</v>
      </c>
      <c r="B3" t="s">
        <v>14</v>
      </c>
    </row>
    <row r="4" spans="1:6" ht="41.25" customHeight="1" x14ac:dyDescent="0.4">
      <c r="A4">
        <f t="shared" si="0"/>
        <v>2</v>
      </c>
      <c r="B4" t="s">
        <v>14</v>
      </c>
      <c r="C4" t="s">
        <v>93</v>
      </c>
      <c r="D4" t="s">
        <v>94</v>
      </c>
      <c r="F4" s="7" t="s">
        <v>73</v>
      </c>
    </row>
    <row r="5" spans="1:6" ht="41.25" customHeight="1" x14ac:dyDescent="0.4">
      <c r="A5">
        <f t="shared" si="0"/>
        <v>3</v>
      </c>
      <c r="B5" t="s">
        <v>14</v>
      </c>
      <c r="C5" t="s">
        <v>95</v>
      </c>
      <c r="D5" t="s">
        <v>96</v>
      </c>
      <c r="F5" s="7" t="s">
        <v>73</v>
      </c>
    </row>
    <row r="6" spans="1:6" ht="41.25" customHeight="1" x14ac:dyDescent="0.4">
      <c r="A6">
        <f t="shared" si="0"/>
        <v>4</v>
      </c>
      <c r="B6" t="s">
        <v>14</v>
      </c>
      <c r="C6" t="s">
        <v>97</v>
      </c>
      <c r="D6" t="s">
        <v>98</v>
      </c>
      <c r="F6" s="7" t="s">
        <v>73</v>
      </c>
    </row>
    <row r="7" spans="1:6" ht="41.25" customHeight="1" x14ac:dyDescent="0.4">
      <c r="A7">
        <f t="shared" si="0"/>
        <v>5</v>
      </c>
      <c r="B7" t="s">
        <v>14</v>
      </c>
      <c r="C7" t="s">
        <v>99</v>
      </c>
      <c r="D7" t="s">
        <v>100</v>
      </c>
      <c r="F7" s="7" t="s">
        <v>73</v>
      </c>
    </row>
    <row r="8" spans="1:6" ht="41.25" customHeight="1" x14ac:dyDescent="0.4">
      <c r="A8">
        <f t="shared" si="0"/>
        <v>6</v>
      </c>
      <c r="B8" t="s">
        <v>14</v>
      </c>
      <c r="C8" t="s">
        <v>99</v>
      </c>
      <c r="D8" t="s">
        <v>101</v>
      </c>
      <c r="F8" s="7" t="s">
        <v>73</v>
      </c>
    </row>
    <row r="9" spans="1:6" ht="41.25" customHeight="1" x14ac:dyDescent="0.4">
      <c r="A9">
        <f t="shared" si="0"/>
        <v>7</v>
      </c>
      <c r="B9" t="s">
        <v>14</v>
      </c>
      <c r="C9" t="s">
        <v>102</v>
      </c>
      <c r="F9" s="7" t="s">
        <v>73</v>
      </c>
    </row>
    <row r="10" spans="1:6" ht="41.25" customHeight="1" x14ac:dyDescent="0.4">
      <c r="A10">
        <f t="shared" si="0"/>
        <v>8</v>
      </c>
      <c r="B10" t="s">
        <v>14</v>
      </c>
      <c r="C10" t="s">
        <v>103</v>
      </c>
      <c r="F10" s="7" t="s">
        <v>73</v>
      </c>
    </row>
    <row r="11" spans="1:6" ht="41.25" customHeight="1" x14ac:dyDescent="0.4">
      <c r="A11">
        <f t="shared" si="0"/>
        <v>9</v>
      </c>
      <c r="B11" t="s">
        <v>14</v>
      </c>
      <c r="C11" t="s">
        <v>104</v>
      </c>
      <c r="F11" s="7" t="s">
        <v>73</v>
      </c>
    </row>
    <row r="12" spans="1:6" ht="41.25" customHeight="1" x14ac:dyDescent="0.4">
      <c r="A12">
        <f t="shared" si="0"/>
        <v>10</v>
      </c>
      <c r="B12" t="s">
        <v>14</v>
      </c>
      <c r="C12" t="s">
        <v>105</v>
      </c>
      <c r="F12" s="7" t="s">
        <v>73</v>
      </c>
    </row>
    <row r="13" spans="1:6" ht="41.25" customHeight="1" x14ac:dyDescent="0.4">
      <c r="A13">
        <f t="shared" si="0"/>
        <v>11</v>
      </c>
      <c r="B13" t="s">
        <v>14</v>
      </c>
      <c r="C13" t="s">
        <v>106</v>
      </c>
      <c r="F13" s="7" t="s">
        <v>73</v>
      </c>
    </row>
    <row r="14" spans="1:6" ht="41.25" customHeight="1" x14ac:dyDescent="0.4">
      <c r="A14">
        <f t="shared" si="0"/>
        <v>12</v>
      </c>
      <c r="B14" t="s">
        <v>14</v>
      </c>
      <c r="C14" t="s">
        <v>107</v>
      </c>
      <c r="D14" t="s">
        <v>108</v>
      </c>
      <c r="F14" s="7" t="s">
        <v>73</v>
      </c>
    </row>
    <row r="15" spans="1:6" ht="41.25" customHeight="1" x14ac:dyDescent="0.4">
      <c r="A15">
        <f t="shared" si="0"/>
        <v>13</v>
      </c>
      <c r="B15" t="s">
        <v>14</v>
      </c>
      <c r="C15" t="s">
        <v>109</v>
      </c>
    </row>
    <row r="16" spans="1:6" ht="41.25" customHeight="1" x14ac:dyDescent="0.4">
      <c r="A16">
        <f t="shared" si="0"/>
        <v>14</v>
      </c>
      <c r="B16" t="s">
        <v>14</v>
      </c>
      <c r="C16" t="s">
        <v>110</v>
      </c>
      <c r="D16" t="s">
        <v>111</v>
      </c>
    </row>
    <row r="17" spans="1:6" ht="41.25" customHeight="1" x14ac:dyDescent="0.4">
      <c r="A17">
        <f t="shared" si="0"/>
        <v>15</v>
      </c>
      <c r="B17" t="s">
        <v>14</v>
      </c>
      <c r="C17" t="s">
        <v>112</v>
      </c>
      <c r="D17" t="s">
        <v>113</v>
      </c>
    </row>
    <row r="18" spans="1:6" ht="41.25" customHeight="1" x14ac:dyDescent="0.4">
      <c r="A18">
        <f t="shared" si="0"/>
        <v>16</v>
      </c>
      <c r="B18" t="s">
        <v>14</v>
      </c>
      <c r="C18" t="s">
        <v>114</v>
      </c>
    </row>
    <row r="19" spans="1:6" ht="41.25" customHeight="1" x14ac:dyDescent="0.4">
      <c r="A19">
        <f t="shared" si="0"/>
        <v>17</v>
      </c>
      <c r="B19" t="s">
        <v>14</v>
      </c>
      <c r="C19" t="s">
        <v>115</v>
      </c>
      <c r="D19" t="s">
        <v>116</v>
      </c>
    </row>
    <row r="20" spans="1:6" ht="41.25" customHeight="1" x14ac:dyDescent="0.4">
      <c r="A20">
        <f t="shared" si="0"/>
        <v>18</v>
      </c>
      <c r="B20" t="s">
        <v>14</v>
      </c>
    </row>
    <row r="21" spans="1:6" ht="41.25" customHeight="1" x14ac:dyDescent="0.4">
      <c r="A21">
        <f t="shared" si="0"/>
        <v>19</v>
      </c>
      <c r="B21" t="s">
        <v>14</v>
      </c>
    </row>
    <row r="22" spans="1:6" ht="41.25" customHeight="1" x14ac:dyDescent="0.4">
      <c r="A22">
        <f t="shared" si="0"/>
        <v>20</v>
      </c>
      <c r="B22" t="s">
        <v>14</v>
      </c>
    </row>
    <row r="23" spans="1:6" ht="41.25" customHeight="1" x14ac:dyDescent="0.4">
      <c r="A23">
        <f t="shared" si="0"/>
        <v>21</v>
      </c>
      <c r="B23" t="s">
        <v>14</v>
      </c>
    </row>
    <row r="24" spans="1:6" ht="41.25" customHeight="1" x14ac:dyDescent="0.4">
      <c r="A24">
        <f t="shared" si="0"/>
        <v>22</v>
      </c>
      <c r="B24" t="s">
        <v>14</v>
      </c>
    </row>
    <row r="25" spans="1:6" ht="41.25" customHeight="1" x14ac:dyDescent="0.4">
      <c r="A25">
        <f t="shared" si="0"/>
        <v>23</v>
      </c>
      <c r="B25" t="s">
        <v>54</v>
      </c>
    </row>
    <row r="26" spans="1:6" ht="41.25" customHeight="1" x14ac:dyDescent="0.4">
      <c r="A26" s="9">
        <f t="shared" si="0"/>
        <v>24</v>
      </c>
      <c r="B26" t="s">
        <v>54</v>
      </c>
      <c r="C26" t="s">
        <v>117</v>
      </c>
      <c r="D26" t="s">
        <v>118</v>
      </c>
      <c r="F26" s="7" t="s">
        <v>73</v>
      </c>
    </row>
    <row r="27" spans="1:6" ht="41.25" customHeight="1" x14ac:dyDescent="0.4">
      <c r="A27" s="9">
        <f t="shared" si="0"/>
        <v>25</v>
      </c>
      <c r="B27" t="s">
        <v>54</v>
      </c>
      <c r="C27" t="s">
        <v>119</v>
      </c>
      <c r="D27" t="s">
        <v>120</v>
      </c>
      <c r="F27" s="7" t="s">
        <v>73</v>
      </c>
    </row>
    <row r="28" spans="1:6" ht="41.25" customHeight="1" x14ac:dyDescent="0.4">
      <c r="A28" s="9">
        <f t="shared" si="0"/>
        <v>26</v>
      </c>
      <c r="B28" t="s">
        <v>54</v>
      </c>
      <c r="C28" t="s">
        <v>121</v>
      </c>
      <c r="F28" s="7" t="s">
        <v>73</v>
      </c>
    </row>
    <row r="29" spans="1:6" ht="41.25" customHeight="1" x14ac:dyDescent="0.4">
      <c r="A29" s="9">
        <f t="shared" si="0"/>
        <v>27</v>
      </c>
      <c r="B29" t="s">
        <v>54</v>
      </c>
      <c r="C29" t="s">
        <v>122</v>
      </c>
      <c r="F29" s="1" t="s">
        <v>123</v>
      </c>
    </row>
    <row r="30" spans="1:6" ht="41.25" customHeight="1" x14ac:dyDescent="0.4">
      <c r="A30" s="9">
        <f t="shared" si="0"/>
        <v>28</v>
      </c>
      <c r="B30" t="s">
        <v>54</v>
      </c>
      <c r="C30" t="s">
        <v>124</v>
      </c>
      <c r="F30" s="7" t="s">
        <v>73</v>
      </c>
    </row>
    <row r="31" spans="1:6" ht="41.25" customHeight="1" x14ac:dyDescent="0.4">
      <c r="A31" s="9">
        <f t="shared" si="0"/>
        <v>29</v>
      </c>
      <c r="B31" t="s">
        <v>54</v>
      </c>
      <c r="C31" t="s">
        <v>125</v>
      </c>
      <c r="F31" s="7" t="s">
        <v>73</v>
      </c>
    </row>
    <row r="32" spans="1:6" ht="41.25" customHeight="1" x14ac:dyDescent="0.4">
      <c r="A32" s="9">
        <f t="shared" si="0"/>
        <v>30</v>
      </c>
      <c r="B32" t="s">
        <v>54</v>
      </c>
      <c r="C32" t="s">
        <v>126</v>
      </c>
      <c r="D32" t="s">
        <v>127</v>
      </c>
      <c r="F32" s="7" t="s">
        <v>73</v>
      </c>
    </row>
    <row r="33" spans="1:6" ht="41.25" customHeight="1" x14ac:dyDescent="0.4">
      <c r="A33" s="9">
        <f t="shared" si="0"/>
        <v>31</v>
      </c>
      <c r="B33" t="s">
        <v>54</v>
      </c>
      <c r="C33" t="s">
        <v>128</v>
      </c>
      <c r="D33" t="s">
        <v>129</v>
      </c>
      <c r="F33" s="1" t="s">
        <v>123</v>
      </c>
    </row>
    <row r="34" spans="1:6" ht="41.25" customHeight="1" x14ac:dyDescent="0.4">
      <c r="A34">
        <f t="shared" ref="A34:A53" si="1">ROW()-2</f>
        <v>32</v>
      </c>
      <c r="B34" t="s">
        <v>54</v>
      </c>
      <c r="C34" t="s">
        <v>130</v>
      </c>
      <c r="D34" t="s">
        <v>131</v>
      </c>
      <c r="F34" s="7" t="s">
        <v>73</v>
      </c>
    </row>
    <row r="35" spans="1:6" ht="41.25" customHeight="1" x14ac:dyDescent="0.4">
      <c r="A35">
        <f t="shared" si="1"/>
        <v>33</v>
      </c>
      <c r="B35" t="s">
        <v>54</v>
      </c>
      <c r="C35" t="s">
        <v>132</v>
      </c>
      <c r="D35" t="s">
        <v>133</v>
      </c>
      <c r="F35" s="7" t="s">
        <v>73</v>
      </c>
    </row>
    <row r="36" spans="1:6" ht="41.25" customHeight="1" x14ac:dyDescent="0.4">
      <c r="A36">
        <f t="shared" si="1"/>
        <v>34</v>
      </c>
      <c r="B36" t="s">
        <v>54</v>
      </c>
    </row>
    <row r="37" spans="1:6" ht="41.25" customHeight="1" x14ac:dyDescent="0.4">
      <c r="A37">
        <f t="shared" si="1"/>
        <v>35</v>
      </c>
      <c r="B37" t="s">
        <v>54</v>
      </c>
    </row>
    <row r="38" spans="1:6" ht="41.25" customHeight="1" x14ac:dyDescent="0.4">
      <c r="A38">
        <f t="shared" si="1"/>
        <v>36</v>
      </c>
      <c r="B38" t="s">
        <v>54</v>
      </c>
    </row>
    <row r="39" spans="1:6" ht="41.25" customHeight="1" x14ac:dyDescent="0.4">
      <c r="A39">
        <f t="shared" si="1"/>
        <v>37</v>
      </c>
      <c r="B39" t="s">
        <v>54</v>
      </c>
    </row>
    <row r="40" spans="1:6" ht="41.25" customHeight="1" x14ac:dyDescent="0.4">
      <c r="A40">
        <f t="shared" si="1"/>
        <v>38</v>
      </c>
      <c r="B40" t="s">
        <v>54</v>
      </c>
    </row>
    <row r="41" spans="1:6" ht="41.25" customHeight="1" x14ac:dyDescent="0.4">
      <c r="A41">
        <f t="shared" si="1"/>
        <v>39</v>
      </c>
      <c r="B41" t="s">
        <v>54</v>
      </c>
    </row>
    <row r="42" spans="1:6" ht="41.25" customHeight="1" x14ac:dyDescent="0.4">
      <c r="A42">
        <f t="shared" si="1"/>
        <v>40</v>
      </c>
      <c r="B42" t="s">
        <v>54</v>
      </c>
    </row>
    <row r="43" spans="1:6" ht="41.25" customHeight="1" x14ac:dyDescent="0.4">
      <c r="A43">
        <f t="shared" si="1"/>
        <v>41</v>
      </c>
      <c r="B43" t="s">
        <v>54</v>
      </c>
    </row>
    <row r="44" spans="1:6" ht="41.25" customHeight="1" x14ac:dyDescent="0.4">
      <c r="A44">
        <f t="shared" si="1"/>
        <v>42</v>
      </c>
      <c r="B44" t="s">
        <v>54</v>
      </c>
    </row>
    <row r="45" spans="1:6" ht="41.25" customHeight="1" x14ac:dyDescent="0.4">
      <c r="A45">
        <f t="shared" si="1"/>
        <v>43</v>
      </c>
      <c r="B45" t="s">
        <v>54</v>
      </c>
    </row>
    <row r="46" spans="1:6" ht="41.25" customHeight="1" x14ac:dyDescent="0.4">
      <c r="A46">
        <f t="shared" si="1"/>
        <v>44</v>
      </c>
      <c r="B46" t="s">
        <v>59</v>
      </c>
      <c r="C46" t="s">
        <v>134</v>
      </c>
      <c r="D46" t="s">
        <v>135</v>
      </c>
      <c r="F46" s="7" t="s">
        <v>73</v>
      </c>
    </row>
    <row r="47" spans="1:6" ht="41.25" customHeight="1" x14ac:dyDescent="0.4">
      <c r="A47">
        <f t="shared" si="1"/>
        <v>45</v>
      </c>
      <c r="B47" t="s">
        <v>59</v>
      </c>
      <c r="C47" t="s">
        <v>136</v>
      </c>
      <c r="D47" t="s">
        <v>137</v>
      </c>
      <c r="F47" s="7" t="s">
        <v>73</v>
      </c>
    </row>
    <row r="48" spans="1:6" ht="41.25" customHeight="1" x14ac:dyDescent="0.4">
      <c r="A48">
        <f t="shared" si="1"/>
        <v>46</v>
      </c>
      <c r="B48" t="s">
        <v>59</v>
      </c>
      <c r="C48" t="s">
        <v>138</v>
      </c>
      <c r="F48" s="7" t="s">
        <v>73</v>
      </c>
    </row>
    <row r="49" spans="1:6" ht="41.25" customHeight="1" x14ac:dyDescent="0.4">
      <c r="A49">
        <f t="shared" si="1"/>
        <v>47</v>
      </c>
      <c r="B49" t="s">
        <v>59</v>
      </c>
      <c r="C49" t="s">
        <v>139</v>
      </c>
      <c r="F49" s="7" t="s">
        <v>73</v>
      </c>
    </row>
    <row r="50" spans="1:6" ht="41.25" customHeight="1" x14ac:dyDescent="0.4">
      <c r="A50">
        <f t="shared" si="1"/>
        <v>48</v>
      </c>
      <c r="B50" t="s">
        <v>59</v>
      </c>
      <c r="C50" t="s">
        <v>140</v>
      </c>
      <c r="D50" t="s">
        <v>141</v>
      </c>
      <c r="F50" s="7" t="s">
        <v>73</v>
      </c>
    </row>
    <row r="51" spans="1:6" ht="41.25" customHeight="1" x14ac:dyDescent="0.4">
      <c r="A51">
        <f t="shared" si="1"/>
        <v>49</v>
      </c>
      <c r="B51" t="s">
        <v>59</v>
      </c>
      <c r="C51" t="s">
        <v>140</v>
      </c>
      <c r="D51" t="s">
        <v>141</v>
      </c>
      <c r="F51" s="7" t="s">
        <v>73</v>
      </c>
    </row>
    <row r="52" spans="1:6" ht="41.25" customHeight="1" x14ac:dyDescent="0.4">
      <c r="A52">
        <f t="shared" si="1"/>
        <v>50</v>
      </c>
      <c r="B52" t="s">
        <v>59</v>
      </c>
      <c r="C52" t="s">
        <v>140</v>
      </c>
      <c r="D52" t="s">
        <v>141</v>
      </c>
      <c r="F52" s="7" t="s">
        <v>73</v>
      </c>
    </row>
    <row r="53" spans="1:6" ht="41.25" customHeight="1" x14ac:dyDescent="0.4">
      <c r="A53">
        <f t="shared" si="1"/>
        <v>51</v>
      </c>
      <c r="B53" t="s">
        <v>59</v>
      </c>
      <c r="C53" t="s">
        <v>140</v>
      </c>
      <c r="D53" t="s">
        <v>141</v>
      </c>
      <c r="F53" s="7" t="s">
        <v>73</v>
      </c>
    </row>
    <row r="54" spans="1:6" ht="41.25" customHeight="1" x14ac:dyDescent="0.4">
      <c r="A54">
        <f t="shared" ref="A54:A63" si="2">ROW()-2</f>
        <v>52</v>
      </c>
      <c r="B54" t="s">
        <v>59</v>
      </c>
      <c r="C54" t="s">
        <v>140</v>
      </c>
      <c r="D54" t="s">
        <v>141</v>
      </c>
      <c r="F54" s="7" t="s">
        <v>73</v>
      </c>
    </row>
    <row r="55" spans="1:6" ht="41.25" customHeight="1" x14ac:dyDescent="0.4">
      <c r="A55">
        <f t="shared" si="2"/>
        <v>53</v>
      </c>
      <c r="B55" t="s">
        <v>59</v>
      </c>
      <c r="C55" t="s">
        <v>142</v>
      </c>
      <c r="F55" s="7" t="s">
        <v>73</v>
      </c>
    </row>
    <row r="56" spans="1:6" ht="41.25" customHeight="1" x14ac:dyDescent="0.4">
      <c r="A56">
        <f t="shared" si="2"/>
        <v>54</v>
      </c>
      <c r="B56" t="s">
        <v>59</v>
      </c>
      <c r="C56" t="s">
        <v>143</v>
      </c>
      <c r="F56" s="7" t="s">
        <v>73</v>
      </c>
    </row>
    <row r="57" spans="1:6" ht="41.25" customHeight="1" x14ac:dyDescent="0.4">
      <c r="A57">
        <f t="shared" si="2"/>
        <v>55</v>
      </c>
      <c r="B57" t="s">
        <v>59</v>
      </c>
      <c r="C57" t="s">
        <v>144</v>
      </c>
      <c r="F57" s="7" t="s">
        <v>73</v>
      </c>
    </row>
    <row r="58" spans="1:6" ht="41.25" customHeight="1" x14ac:dyDescent="0.4">
      <c r="A58">
        <f t="shared" si="2"/>
        <v>56</v>
      </c>
      <c r="B58" t="s">
        <v>59</v>
      </c>
      <c r="C58" t="s">
        <v>145</v>
      </c>
      <c r="D58" t="s">
        <v>146</v>
      </c>
      <c r="F58" s="7" t="s">
        <v>73</v>
      </c>
    </row>
    <row r="59" spans="1:6" ht="41.25" customHeight="1" x14ac:dyDescent="0.4">
      <c r="A59">
        <f t="shared" si="2"/>
        <v>57</v>
      </c>
      <c r="B59" t="s">
        <v>59</v>
      </c>
      <c r="C59" t="s">
        <v>147</v>
      </c>
      <c r="F59" s="7" t="s">
        <v>73</v>
      </c>
    </row>
    <row r="60" spans="1:6" ht="41.25" customHeight="1" x14ac:dyDescent="0.4">
      <c r="A60">
        <f t="shared" si="2"/>
        <v>58</v>
      </c>
      <c r="B60" t="s">
        <v>59</v>
      </c>
      <c r="C60" t="s">
        <v>202</v>
      </c>
      <c r="D60" t="s">
        <v>201</v>
      </c>
      <c r="F60" s="6" t="s">
        <v>205</v>
      </c>
    </row>
    <row r="61" spans="1:6" ht="41.25" customHeight="1" x14ac:dyDescent="0.4">
      <c r="A61">
        <f t="shared" si="2"/>
        <v>59</v>
      </c>
      <c r="B61" t="s">
        <v>59</v>
      </c>
      <c r="C61" t="s">
        <v>203</v>
      </c>
      <c r="D61" t="s">
        <v>201</v>
      </c>
      <c r="F61" s="6" t="s">
        <v>206</v>
      </c>
    </row>
    <row r="62" spans="1:6" ht="41.25" customHeight="1" x14ac:dyDescent="0.4">
      <c r="A62">
        <f t="shared" si="2"/>
        <v>60</v>
      </c>
      <c r="B62" t="s">
        <v>59</v>
      </c>
      <c r="C62" t="s">
        <v>204</v>
      </c>
      <c r="D62" t="s">
        <v>201</v>
      </c>
      <c r="F62" s="6" t="s">
        <v>207</v>
      </c>
    </row>
    <row r="63" spans="1:6" ht="41.25" customHeight="1" x14ac:dyDescent="0.4">
      <c r="A63">
        <f t="shared" si="2"/>
        <v>61</v>
      </c>
      <c r="B63" t="s">
        <v>59</v>
      </c>
      <c r="C63" s="1" t="s">
        <v>82</v>
      </c>
      <c r="D63" s="1" t="s">
        <v>83</v>
      </c>
    </row>
    <row r="64" spans="1:6" ht="41.25" customHeight="1" x14ac:dyDescent="0.4">
      <c r="A64">
        <f t="shared" ref="A64:A67" si="3">ROW()-2</f>
        <v>62</v>
      </c>
      <c r="B64" t="s">
        <v>59</v>
      </c>
      <c r="C64" s="1" t="s">
        <v>84</v>
      </c>
      <c r="D64" s="1" t="s">
        <v>85</v>
      </c>
      <c r="F64" s="6" t="s">
        <v>208</v>
      </c>
    </row>
    <row r="65" spans="1:6" ht="41.25" customHeight="1" x14ac:dyDescent="0.4">
      <c r="A65">
        <f t="shared" si="3"/>
        <v>63</v>
      </c>
      <c r="B65" t="s">
        <v>59</v>
      </c>
      <c r="C65" t="s">
        <v>209</v>
      </c>
      <c r="D65" t="s">
        <v>210</v>
      </c>
      <c r="F65" s="6" t="s">
        <v>211</v>
      </c>
    </row>
    <row r="66" spans="1:6" ht="41.25" customHeight="1" x14ac:dyDescent="0.4">
      <c r="A66">
        <f t="shared" si="3"/>
        <v>64</v>
      </c>
      <c r="B66" t="s">
        <v>59</v>
      </c>
    </row>
    <row r="67" spans="1:6" ht="41.25" customHeight="1" x14ac:dyDescent="0.4">
      <c r="A67">
        <f t="shared" si="3"/>
        <v>65</v>
      </c>
      <c r="B67" t="s">
        <v>59</v>
      </c>
    </row>
    <row r="68" spans="1:6" ht="41.25" customHeight="1" x14ac:dyDescent="0.4">
      <c r="A68">
        <f t="shared" ref="A68:A73" si="4">ROW()-2</f>
        <v>66</v>
      </c>
      <c r="B68" t="s">
        <v>67</v>
      </c>
      <c r="C68" t="s">
        <v>148</v>
      </c>
      <c r="D68" t="s">
        <v>149</v>
      </c>
    </row>
    <row r="69" spans="1:6" ht="41.25" customHeight="1" x14ac:dyDescent="0.4">
      <c r="A69">
        <f t="shared" si="4"/>
        <v>67</v>
      </c>
      <c r="B69" t="s">
        <v>67</v>
      </c>
      <c r="C69" t="s">
        <v>150</v>
      </c>
      <c r="D69" t="s">
        <v>149</v>
      </c>
    </row>
    <row r="70" spans="1:6" ht="41.25" customHeight="1" x14ac:dyDescent="0.4">
      <c r="A70">
        <f t="shared" si="4"/>
        <v>68</v>
      </c>
      <c r="B70" t="s">
        <v>67</v>
      </c>
      <c r="C70" t="s">
        <v>151</v>
      </c>
      <c r="D70" t="s">
        <v>149</v>
      </c>
    </row>
    <row r="71" spans="1:6" ht="41.25" customHeight="1" x14ac:dyDescent="0.4">
      <c r="A71">
        <f t="shared" si="4"/>
        <v>69</v>
      </c>
      <c r="B71" t="s">
        <v>67</v>
      </c>
      <c r="C71" t="s">
        <v>152</v>
      </c>
      <c r="D71" t="s">
        <v>149</v>
      </c>
    </row>
    <row r="72" spans="1:6" ht="41.25" customHeight="1" x14ac:dyDescent="0.4">
      <c r="A72">
        <f t="shared" si="4"/>
        <v>70</v>
      </c>
      <c r="B72" t="s">
        <v>67</v>
      </c>
      <c r="C72" t="s">
        <v>153</v>
      </c>
      <c r="D72" t="s">
        <v>149</v>
      </c>
    </row>
    <row r="73" spans="1:6" ht="41.25" customHeight="1" x14ac:dyDescent="0.4">
      <c r="A73">
        <f t="shared" si="4"/>
        <v>71</v>
      </c>
      <c r="B73" t="s">
        <v>67</v>
      </c>
      <c r="C73" t="s">
        <v>154</v>
      </c>
      <c r="D73" t="s">
        <v>149</v>
      </c>
    </row>
  </sheetData>
  <phoneticPr fontId="1"/>
  <dataValidations count="1">
    <dataValidation type="list" allowBlank="1" showInputMessage="1" showErrorMessage="1" sqref="B2:B73" xr:uid="{AE44F77B-D394-46D0-99BD-1CAF8B001B83}">
      <formula1>INDIRECT("scenePart")</formula1>
    </dataValidation>
  </dataValidations>
  <hyperlinks>
    <hyperlink ref="F2" r:id="rId1" xr:uid="{2ECD56B9-0C59-405A-8EB6-7741AEC6DCB8}"/>
    <hyperlink ref="F4" r:id="rId2" xr:uid="{8C21514F-6069-4535-BB99-93876E8EAC31}"/>
    <hyperlink ref="F5" r:id="rId3" xr:uid="{16FA999D-6075-41ED-B5F3-6D7234725AC4}"/>
    <hyperlink ref="F6" r:id="rId4" xr:uid="{AD42082D-4E55-48E4-9AC8-AE0FF15A5BCE}"/>
    <hyperlink ref="F7" r:id="rId5" xr:uid="{04857CFA-50C8-40E1-9778-8371BA52B68C}"/>
    <hyperlink ref="F8" r:id="rId6" xr:uid="{7A39FF25-4DD5-4D3A-BCC1-23E1BF9C1619}"/>
    <hyperlink ref="F9" r:id="rId7" xr:uid="{CA995D31-47E9-4C0A-9FA9-19302EE25BB9}"/>
    <hyperlink ref="F10" r:id="rId8" xr:uid="{9C1B0F87-87B7-4CC0-BA51-AE7AE1D85311}"/>
    <hyperlink ref="F11" r:id="rId9" xr:uid="{9B66DD8D-EFD2-4271-BA57-5327A9BCA5EF}"/>
    <hyperlink ref="F12" r:id="rId10" xr:uid="{E926B9C2-2DE1-4168-A6BC-315BF4C1B4F6}"/>
    <hyperlink ref="F13" r:id="rId11" xr:uid="{0118576C-660B-459C-A7DD-FCBD85AF3AB8}"/>
    <hyperlink ref="F14" r:id="rId12" xr:uid="{E02E7BA9-BFC2-4195-A7B0-429396DC20C4}"/>
    <hyperlink ref="F26" r:id="rId13" xr:uid="{6D14B213-FFE5-47F5-A507-45A7B9F5A5AA}"/>
    <hyperlink ref="F27" r:id="rId14" xr:uid="{991DD5B9-21CD-46FB-B80A-1942ABFA1D49}"/>
    <hyperlink ref="F28" r:id="rId15" xr:uid="{A0E96B75-2435-4526-B6C8-EC3B42B7BE30}"/>
    <hyperlink ref="F30" r:id="rId16" xr:uid="{1623C378-7D6E-4DC3-A48D-CF83D261942C}"/>
    <hyperlink ref="F31" r:id="rId17" xr:uid="{02780EE1-C9EA-4226-8033-DB4192FADD1C}"/>
    <hyperlink ref="F32" r:id="rId18" xr:uid="{AC854DF8-2FEB-42F1-8CF9-0C1C4A924E97}"/>
    <hyperlink ref="F34" r:id="rId19" xr:uid="{6F56884F-4B65-4FC8-B909-4DFB23BC7A82}"/>
    <hyperlink ref="F35" r:id="rId20" xr:uid="{09B0159F-043D-4BA1-9FFA-C587795399FF}"/>
    <hyperlink ref="F46" r:id="rId21" xr:uid="{D088D0E5-C519-4137-BC19-3B809271A06C}"/>
    <hyperlink ref="F47" r:id="rId22" xr:uid="{384055AF-4D7A-4A37-88C3-B80C9624AF69}"/>
    <hyperlink ref="F48" r:id="rId23" xr:uid="{5A17DA3D-0A0D-4B72-98CE-8959C4AF5A73}"/>
    <hyperlink ref="F49" r:id="rId24" xr:uid="{2F23D53B-DBA0-4A4F-8CCA-53F0605348FD}"/>
    <hyperlink ref="F50" r:id="rId25" xr:uid="{D7D9217D-7804-4287-BAFA-6E599AED3EE1}"/>
    <hyperlink ref="F51" r:id="rId26" xr:uid="{75B51E86-3FF0-4614-9B2B-908BE4223449}"/>
    <hyperlink ref="F52" r:id="rId27" xr:uid="{52707EC3-B520-4EDD-880B-7F14607EAFC7}"/>
    <hyperlink ref="F53" r:id="rId28" xr:uid="{953AFCEE-54CE-4A84-9904-6903945E1E62}"/>
    <hyperlink ref="F54" r:id="rId29" xr:uid="{80CDA016-3806-497D-9B88-73F50D63E747}"/>
    <hyperlink ref="F55" r:id="rId30" xr:uid="{21D861E6-5697-436D-9CE0-39E46E76B42C}"/>
    <hyperlink ref="F56" r:id="rId31" xr:uid="{78C14040-FC28-4FB3-9F3D-E30475C74E3A}"/>
    <hyperlink ref="F57" r:id="rId32" xr:uid="{CFDFC52E-1FFB-4A5C-8798-6A3CB4074D82}"/>
    <hyperlink ref="F58" r:id="rId33" xr:uid="{CDD89692-012C-4D0C-8C8B-51FDF5C7D58A}"/>
    <hyperlink ref="F59" r:id="rId34" xr:uid="{A57869F5-BCE8-4FB6-A7D6-8F03DA488FDC}"/>
  </hyperlinks>
  <pageMargins left="0.7" right="0.7" top="0.75" bottom="0.75" header="0.3" footer="0.3"/>
  <tableParts count="1">
    <tablePart r:id="rId3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8725-8719-490A-B039-5D53103913EC}">
  <dimension ref="A1:E3"/>
  <sheetViews>
    <sheetView workbookViewId="0">
      <selection activeCell="A3" sqref="A3"/>
    </sheetView>
  </sheetViews>
  <sheetFormatPr defaultColWidth="11.5546875" defaultRowHeight="41.25" customHeight="1" x14ac:dyDescent="0.4"/>
  <cols>
    <col min="1" max="1" width="5.109375" bestFit="1" customWidth="1"/>
    <col min="2" max="2" width="38.5546875" customWidth="1"/>
    <col min="3" max="4" width="40.109375" customWidth="1"/>
    <col min="5" max="5" width="34.88671875" style="1" customWidth="1"/>
  </cols>
  <sheetData>
    <row r="1" spans="1:5" ht="19.5" x14ac:dyDescent="0.4">
      <c r="A1" t="s">
        <v>0</v>
      </c>
      <c r="B1" t="s">
        <v>2</v>
      </c>
      <c r="C1" t="s">
        <v>3</v>
      </c>
      <c r="D1" t="s">
        <v>4</v>
      </c>
      <c r="E1" s="1" t="s">
        <v>6</v>
      </c>
    </row>
    <row r="2" spans="1:5" ht="41.25" customHeight="1" x14ac:dyDescent="0.4">
      <c r="A2">
        <f>ROW()-2</f>
        <v>0</v>
      </c>
      <c r="B2" t="s">
        <v>155</v>
      </c>
      <c r="C2" t="s">
        <v>156</v>
      </c>
      <c r="E2" s="11" t="s">
        <v>73</v>
      </c>
    </row>
    <row r="3" spans="1:5" ht="41.25" customHeight="1" x14ac:dyDescent="0.4">
      <c r="A3">
        <f t="shared" ref="A3" si="0">ROW()-2</f>
        <v>1</v>
      </c>
      <c r="B3" t="s">
        <v>157</v>
      </c>
      <c r="C3" t="s">
        <v>158</v>
      </c>
      <c r="E3" s="11" t="s">
        <v>73</v>
      </c>
    </row>
  </sheetData>
  <phoneticPr fontId="1"/>
  <hyperlinks>
    <hyperlink ref="E2" r:id="rId1" xr:uid="{745832A7-7404-4F12-B331-DF63FEB30DE3}"/>
    <hyperlink ref="E3" r:id="rId2" xr:uid="{793892AF-D434-465B-902E-FEE4E2A8DD8E}"/>
  </hyperlinks>
  <pageMargins left="0.7" right="0.7" top="0.75" bottom="0.75" header="0.3" footer="0.3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100A-9A18-44E3-B903-2CFFCD54A42F}">
  <dimension ref="A1:F10"/>
  <sheetViews>
    <sheetView topLeftCell="A4" zoomScale="85" zoomScaleNormal="85" workbookViewId="0">
      <selection activeCell="C11" sqref="C11"/>
    </sheetView>
  </sheetViews>
  <sheetFormatPr defaultColWidth="11.5546875" defaultRowHeight="41.25" customHeight="1" x14ac:dyDescent="0.4"/>
  <cols>
    <col min="1" max="1" width="5.109375" bestFit="1" customWidth="1"/>
    <col min="2" max="5" width="30.77734375" customWidth="1"/>
    <col min="6" max="6" width="30.77734375" style="1" customWidth="1"/>
  </cols>
  <sheetData>
    <row r="1" spans="1:6" ht="19.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ht="41.25" customHeight="1" x14ac:dyDescent="0.4">
      <c r="A2">
        <f t="shared" ref="A2:A3" si="0">ROW()-2</f>
        <v>0</v>
      </c>
      <c r="B2" t="s">
        <v>14</v>
      </c>
      <c r="C2" t="s">
        <v>159</v>
      </c>
      <c r="D2" t="s">
        <v>160</v>
      </c>
      <c r="F2" s="2" t="s">
        <v>161</v>
      </c>
    </row>
    <row r="3" spans="1:6" ht="41.25" customHeight="1" x14ac:dyDescent="0.4">
      <c r="A3">
        <f t="shared" si="0"/>
        <v>1</v>
      </c>
      <c r="B3" t="s">
        <v>14</v>
      </c>
      <c r="C3" t="s">
        <v>72</v>
      </c>
      <c r="F3" s="2" t="s">
        <v>162</v>
      </c>
    </row>
    <row r="4" spans="1:6" ht="41.25" customHeight="1" x14ac:dyDescent="0.4">
      <c r="A4">
        <f t="shared" ref="A4:A9" si="1">ROW()-2</f>
        <v>2</v>
      </c>
      <c r="B4" t="s">
        <v>14</v>
      </c>
      <c r="C4" t="s">
        <v>163</v>
      </c>
      <c r="F4" s="2" t="s">
        <v>164</v>
      </c>
    </row>
    <row r="5" spans="1:6" ht="41.25" customHeight="1" x14ac:dyDescent="0.4">
      <c r="A5">
        <f t="shared" si="1"/>
        <v>3</v>
      </c>
      <c r="B5" t="s">
        <v>14</v>
      </c>
      <c r="C5" t="s">
        <v>165</v>
      </c>
      <c r="F5" s="2" t="s">
        <v>166</v>
      </c>
    </row>
    <row r="6" spans="1:6" ht="41.25" customHeight="1" x14ac:dyDescent="0.4">
      <c r="A6">
        <f t="shared" si="1"/>
        <v>4</v>
      </c>
      <c r="B6" t="s">
        <v>14</v>
      </c>
      <c r="C6" t="s">
        <v>167</v>
      </c>
      <c r="F6" s="2" t="s">
        <v>168</v>
      </c>
    </row>
    <row r="7" spans="1:6" ht="41.25" customHeight="1" x14ac:dyDescent="0.4">
      <c r="A7">
        <f t="shared" si="1"/>
        <v>5</v>
      </c>
      <c r="B7" t="s">
        <v>14</v>
      </c>
      <c r="C7" t="s">
        <v>169</v>
      </c>
      <c r="F7" s="2" t="s">
        <v>170</v>
      </c>
    </row>
    <row r="8" spans="1:6" ht="41.25" customHeight="1" x14ac:dyDescent="0.4">
      <c r="A8">
        <f t="shared" si="1"/>
        <v>6</v>
      </c>
      <c r="B8" t="s">
        <v>14</v>
      </c>
      <c r="C8" t="s">
        <v>171</v>
      </c>
      <c r="F8" s="1" t="s">
        <v>16</v>
      </c>
    </row>
    <row r="9" spans="1:6" ht="41.25" customHeight="1" x14ac:dyDescent="0.4">
      <c r="A9">
        <f t="shared" si="1"/>
        <v>7</v>
      </c>
      <c r="B9" t="s">
        <v>14</v>
      </c>
      <c r="C9" t="s">
        <v>172</v>
      </c>
      <c r="F9" s="1" t="s">
        <v>16</v>
      </c>
    </row>
    <row r="10" spans="1:6" ht="41.25" customHeight="1" x14ac:dyDescent="0.4">
      <c r="A10">
        <f>ROW()-2</f>
        <v>8</v>
      </c>
      <c r="B10" t="s">
        <v>14</v>
      </c>
      <c r="C10" t="s">
        <v>48</v>
      </c>
      <c r="D10" s="1"/>
    </row>
  </sheetData>
  <phoneticPr fontId="1"/>
  <dataValidations count="1">
    <dataValidation type="list" allowBlank="1" showInputMessage="1" showErrorMessage="1" sqref="B2:B10" xr:uid="{DC4CBD30-45BD-4294-9CCA-487BDFCA2263}">
      <formula1>INDIRECT("scenePart")</formula1>
    </dataValidation>
  </dataValidations>
  <hyperlinks>
    <hyperlink ref="F3" r:id="rId1" xr:uid="{A10C7C00-E606-4289-AA9C-B14AEB37D607}"/>
    <hyperlink ref="F2" r:id="rId2" xr:uid="{713DBB6A-C396-4402-8792-C01E8D6B206A}"/>
    <hyperlink ref="F4" r:id="rId3" xr:uid="{F9D3CCAA-71BA-4766-855B-EDE58B4F2821}"/>
    <hyperlink ref="F7" r:id="rId4" xr:uid="{B85C9CF0-D25E-49A8-9E58-7E574DA4248B}"/>
    <hyperlink ref="F6" r:id="rId5" xr:uid="{132F05A8-0A30-4E8A-BC05-5E64F79F5B22}"/>
    <hyperlink ref="F5" r:id="rId6" xr:uid="{B3297FED-9982-4313-B25A-CBD42CD87584}"/>
  </hyperlinks>
  <pageMargins left="0.7" right="0.7" top="0.75" bottom="0.75" header="0.3" footer="0.3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6FEA-3FA3-4F82-9618-C24CFACA31E0}">
  <dimension ref="A1:F21"/>
  <sheetViews>
    <sheetView topLeftCell="A16" workbookViewId="0">
      <selection activeCell="C22" sqref="C22"/>
    </sheetView>
  </sheetViews>
  <sheetFormatPr defaultColWidth="11.5546875" defaultRowHeight="41.25" customHeight="1" x14ac:dyDescent="0.4"/>
  <cols>
    <col min="1" max="1" width="5.109375" bestFit="1" customWidth="1"/>
    <col min="2" max="6" width="30.77734375" customWidth="1"/>
  </cols>
  <sheetData>
    <row r="1" spans="1:6" ht="19.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1.25" customHeight="1" x14ac:dyDescent="0.4">
      <c r="A2">
        <f t="shared" ref="A2:A13" si="0">ROW()-2</f>
        <v>0</v>
      </c>
      <c r="B2" t="s">
        <v>14</v>
      </c>
      <c r="C2" t="s">
        <v>35</v>
      </c>
      <c r="D2" t="s">
        <v>173</v>
      </c>
    </row>
    <row r="3" spans="1:6" ht="41.25" customHeight="1" x14ac:dyDescent="0.4">
      <c r="A3">
        <f t="shared" si="0"/>
        <v>1</v>
      </c>
      <c r="B3" t="s">
        <v>14</v>
      </c>
      <c r="C3" t="s">
        <v>174</v>
      </c>
      <c r="F3" s="15" t="s">
        <v>175</v>
      </c>
    </row>
    <row r="4" spans="1:6" ht="41.25" customHeight="1" x14ac:dyDescent="0.4">
      <c r="A4">
        <f t="shared" si="0"/>
        <v>2</v>
      </c>
      <c r="B4" t="s">
        <v>14</v>
      </c>
      <c r="C4" t="s">
        <v>176</v>
      </c>
      <c r="F4" s="15" t="s">
        <v>175</v>
      </c>
    </row>
    <row r="5" spans="1:6" ht="41.25" customHeight="1" x14ac:dyDescent="0.4">
      <c r="A5">
        <f t="shared" si="0"/>
        <v>3</v>
      </c>
      <c r="B5" t="s">
        <v>14</v>
      </c>
      <c r="C5" t="s">
        <v>177</v>
      </c>
      <c r="F5" s="15" t="s">
        <v>175</v>
      </c>
    </row>
    <row r="6" spans="1:6" ht="41.25" customHeight="1" x14ac:dyDescent="0.4">
      <c r="A6">
        <f t="shared" si="0"/>
        <v>4</v>
      </c>
      <c r="B6" t="s">
        <v>14</v>
      </c>
      <c r="C6" t="s">
        <v>178</v>
      </c>
    </row>
    <row r="7" spans="1:6" ht="41.25" customHeight="1" x14ac:dyDescent="0.4">
      <c r="A7">
        <f t="shared" si="0"/>
        <v>5</v>
      </c>
      <c r="B7" t="s">
        <v>14</v>
      </c>
      <c r="C7" t="s">
        <v>179</v>
      </c>
    </row>
    <row r="8" spans="1:6" ht="41.25" customHeight="1" x14ac:dyDescent="0.4">
      <c r="A8">
        <f t="shared" si="0"/>
        <v>6</v>
      </c>
      <c r="B8" t="s">
        <v>14</v>
      </c>
      <c r="C8" t="s">
        <v>180</v>
      </c>
    </row>
    <row r="9" spans="1:6" ht="41.25" customHeight="1" x14ac:dyDescent="0.4">
      <c r="A9">
        <f t="shared" si="0"/>
        <v>7</v>
      </c>
      <c r="B9" t="s">
        <v>67</v>
      </c>
      <c r="C9" t="s">
        <v>181</v>
      </c>
      <c r="E9" t="s">
        <v>182</v>
      </c>
      <c r="F9" s="15" t="s">
        <v>183</v>
      </c>
    </row>
    <row r="10" spans="1:6" ht="41.25" customHeight="1" x14ac:dyDescent="0.4">
      <c r="A10">
        <f t="shared" si="0"/>
        <v>8</v>
      </c>
      <c r="B10" t="s">
        <v>67</v>
      </c>
      <c r="C10" t="s">
        <v>184</v>
      </c>
      <c r="D10" t="s">
        <v>185</v>
      </c>
      <c r="F10" s="15" t="s">
        <v>183</v>
      </c>
    </row>
    <row r="11" spans="1:6" ht="41.25" customHeight="1" x14ac:dyDescent="0.4">
      <c r="A11">
        <f t="shared" si="0"/>
        <v>9</v>
      </c>
      <c r="B11" t="s">
        <v>67</v>
      </c>
      <c r="C11" t="s">
        <v>186</v>
      </c>
      <c r="D11" t="s">
        <v>187</v>
      </c>
    </row>
    <row r="12" spans="1:6" ht="41.25" customHeight="1" x14ac:dyDescent="0.4">
      <c r="A12">
        <f t="shared" si="0"/>
        <v>10</v>
      </c>
      <c r="B12" t="s">
        <v>67</v>
      </c>
      <c r="C12" t="s">
        <v>188</v>
      </c>
    </row>
    <row r="13" spans="1:6" ht="41.25" customHeight="1" x14ac:dyDescent="0.4">
      <c r="A13">
        <f t="shared" si="0"/>
        <v>11</v>
      </c>
      <c r="B13" t="s">
        <v>67</v>
      </c>
      <c r="C13" t="s">
        <v>189</v>
      </c>
    </row>
    <row r="14" spans="1:6" ht="41.25" customHeight="1" x14ac:dyDescent="0.4">
      <c r="A14">
        <v>12</v>
      </c>
      <c r="B14" t="s">
        <v>67</v>
      </c>
      <c r="C14" t="s">
        <v>190</v>
      </c>
      <c r="F14" s="15" t="s">
        <v>175</v>
      </c>
    </row>
    <row r="15" spans="1:6" ht="41.25" customHeight="1" x14ac:dyDescent="0.4">
      <c r="A15">
        <v>13</v>
      </c>
      <c r="B15" t="s">
        <v>14</v>
      </c>
      <c r="C15" t="s">
        <v>15</v>
      </c>
      <c r="F15" s="15" t="s">
        <v>175</v>
      </c>
    </row>
    <row r="16" spans="1:6" ht="41.25" customHeight="1" x14ac:dyDescent="0.4">
      <c r="A16">
        <v>14</v>
      </c>
      <c r="B16" t="s">
        <v>67</v>
      </c>
      <c r="C16" t="s">
        <v>191</v>
      </c>
      <c r="F16" s="15" t="s">
        <v>183</v>
      </c>
    </row>
    <row r="17" spans="1:6" ht="41.25" customHeight="1" x14ac:dyDescent="0.4">
      <c r="A17">
        <f>ROW()-2</f>
        <v>15</v>
      </c>
      <c r="B17" t="s">
        <v>67</v>
      </c>
      <c r="C17" t="s">
        <v>192</v>
      </c>
      <c r="F17" s="15" t="s">
        <v>183</v>
      </c>
    </row>
    <row r="18" spans="1:6" ht="41.25" customHeight="1" x14ac:dyDescent="0.4">
      <c r="A18">
        <f>ROW()-2</f>
        <v>16</v>
      </c>
      <c r="B18" t="s">
        <v>67</v>
      </c>
      <c r="C18" t="s">
        <v>193</v>
      </c>
      <c r="F18" s="15" t="s">
        <v>183</v>
      </c>
    </row>
    <row r="19" spans="1:6" ht="41.25" customHeight="1" x14ac:dyDescent="0.4">
      <c r="A19">
        <f>ROW()-2</f>
        <v>17</v>
      </c>
      <c r="B19" t="s">
        <v>54</v>
      </c>
      <c r="C19" t="s">
        <v>194</v>
      </c>
      <c r="F19" s="15" t="s">
        <v>183</v>
      </c>
    </row>
    <row r="20" spans="1:6" ht="41.25" customHeight="1" x14ac:dyDescent="0.4">
      <c r="A20">
        <f>ROW()-2</f>
        <v>18</v>
      </c>
      <c r="B20" t="s">
        <v>54</v>
      </c>
      <c r="C20" t="s">
        <v>195</v>
      </c>
    </row>
    <row r="21" spans="1:6" ht="41.25" customHeight="1" x14ac:dyDescent="0.4">
      <c r="A21">
        <f>ROW()-2</f>
        <v>19</v>
      </c>
      <c r="C21" t="s">
        <v>196</v>
      </c>
    </row>
  </sheetData>
  <phoneticPr fontId="1"/>
  <dataValidations count="1">
    <dataValidation type="list" allowBlank="1" showInputMessage="1" showErrorMessage="1" sqref="B2:B21" xr:uid="{61192614-592D-42F6-B9EE-CA678DCBF354}">
      <formula1>INDIRECT("scenePart")</formula1>
    </dataValidation>
  </dataValidations>
  <hyperlinks>
    <hyperlink ref="F3" r:id="rId1" xr:uid="{7842715F-7FB7-487D-AF52-8BA8DC3EB185}"/>
    <hyperlink ref="F4" r:id="rId2" xr:uid="{937BA14A-D4EF-4C5D-8F5B-40AA145BE368}"/>
    <hyperlink ref="F5" r:id="rId3" xr:uid="{56252F38-DBCA-41B8-BA3A-D18A4726A98E}"/>
    <hyperlink ref="F14" r:id="rId4" xr:uid="{BE66BEF6-CBDC-4028-B671-CD91AF05E5D9}"/>
    <hyperlink ref="F15" r:id="rId5" xr:uid="{1C2EF863-1651-498F-9E66-B74DE8568C2E}"/>
    <hyperlink ref="F16" r:id="rId6" xr:uid="{84346416-6D4E-4084-AA94-E8D387378A88}"/>
    <hyperlink ref="F17" r:id="rId7" xr:uid="{09AE715C-B2DA-4D45-B576-D65FF2C43B57}"/>
    <hyperlink ref="F18" r:id="rId8" xr:uid="{4BC6B8B2-4706-434F-9127-E64CF70BC196}"/>
    <hyperlink ref="F19" r:id="rId9" xr:uid="{1481BD93-EA3B-43BF-B6BF-20E08542DC45}"/>
    <hyperlink ref="F10" r:id="rId10" xr:uid="{FA411ADA-0B03-4E61-B375-651ABA42FCC6}"/>
    <hyperlink ref="F9" r:id="rId11" xr:uid="{1F6C3D2D-C9FF-43A6-99E9-07CB570C7CEF}"/>
  </hyperlinks>
  <pageMargins left="0.7" right="0.7" top="0.75" bottom="0.75" header="0.3" footer="0.3"/>
  <tableParts count="1"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9896-5020-4CC2-B4F3-183EB69FB716}">
  <dimension ref="A1:A5"/>
  <sheetViews>
    <sheetView workbookViewId="0">
      <selection activeCell="F14" sqref="F14"/>
    </sheetView>
  </sheetViews>
  <sheetFormatPr defaultRowHeight="19.5" x14ac:dyDescent="0.4"/>
  <cols>
    <col min="1" max="1" width="11.109375" customWidth="1"/>
  </cols>
  <sheetData>
    <row r="1" spans="1:1" x14ac:dyDescent="0.4">
      <c r="A1" t="s">
        <v>197</v>
      </c>
    </row>
    <row r="2" spans="1:1" x14ac:dyDescent="0.4">
      <c r="A2" t="s">
        <v>198</v>
      </c>
    </row>
    <row r="3" spans="1:1" x14ac:dyDescent="0.4">
      <c r="A3" t="s">
        <v>50</v>
      </c>
    </row>
    <row r="4" spans="1:1" x14ac:dyDescent="0.4">
      <c r="A4" t="s">
        <v>199</v>
      </c>
    </row>
    <row r="5" spans="1:1" x14ac:dyDescent="0.4">
      <c r="A5" t="s">
        <v>200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Font</vt:lpstr>
      <vt:lpstr>BGM</vt:lpstr>
      <vt:lpstr>BGM_Env</vt:lpstr>
      <vt:lpstr>SE</vt:lpstr>
      <vt:lpstr>SE_UI</vt:lpstr>
      <vt:lpstr>Image_BG</vt:lpstr>
      <vt:lpstr>Image_UI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まい 中村</dc:creator>
  <cp:keywords/>
  <dc:description/>
  <cp:lastModifiedBy>TKS21 島村涼平</cp:lastModifiedBy>
  <cp:revision/>
  <dcterms:created xsi:type="dcterms:W3CDTF">2024-12-04T05:19:35Z</dcterms:created>
  <dcterms:modified xsi:type="dcterms:W3CDTF">2025-02-06T02:36:25Z</dcterms:modified>
  <cp:category/>
  <cp:contentStatus/>
</cp:coreProperties>
</file>