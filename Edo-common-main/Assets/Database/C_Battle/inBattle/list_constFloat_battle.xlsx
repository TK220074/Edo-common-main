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C_Battle\inBattle\"/>
    </mc:Choice>
  </mc:AlternateContent>
  <xr:revisionPtr revIDLastSave="0" documentId="13_ncr:1_{0EA5B79C-6589-4D05-9F32-7C9B1085B47B}" xr6:coauthVersionLast="47" xr6:coauthVersionMax="47" xr10:uidLastSave="{00000000-0000-0000-0000-000000000000}"/>
  <bookViews>
    <workbookView xWindow="480" yWindow="2025" windowWidth="21600" windowHeight="1129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/>
  <c r="A28" i="1"/>
  <c r="A27" i="1"/>
  <c r="A26" i="1"/>
  <c r="C18" i="1"/>
  <c r="C19" i="1"/>
  <c r="A2" i="1"/>
  <c r="A3" i="1"/>
  <c r="A4" i="1"/>
  <c r="A7" i="1"/>
  <c r="A6" i="1"/>
  <c r="A21" i="1"/>
  <c r="A20" i="1"/>
  <c r="A25" i="1"/>
  <c r="A24" i="1"/>
  <c r="A23" i="1"/>
  <c r="A22" i="1"/>
  <c r="A14" i="1"/>
  <c r="A8" i="1"/>
  <c r="A12" i="1"/>
  <c r="A13" i="1"/>
  <c r="A11" i="1"/>
  <c r="A10" i="1"/>
  <c r="A9" i="1"/>
  <c r="A19" i="1"/>
  <c r="A18" i="1"/>
  <c r="A17" i="1"/>
  <c r="A16" i="1"/>
  <c r="A15" i="1"/>
  <c r="A5" i="1" l="1"/>
</calcChain>
</file>

<file path=xl/sharedStrings.xml><?xml version="1.0" encoding="utf-8"?>
<sst xmlns="http://schemas.openxmlformats.org/spreadsheetml/2006/main" count="34" uniqueCount="33">
  <si>
    <t>num</t>
    <phoneticPr fontId="1"/>
  </si>
  <si>
    <t>意味</t>
    <rPh sb="0" eb="2">
      <t>イミ</t>
    </rPh>
    <phoneticPr fontId="1"/>
  </si>
  <si>
    <t>要素番号</t>
    <rPh sb="0" eb="2">
      <t>ヨウソ</t>
    </rPh>
    <rPh sb="2" eb="4">
      <t>バンゴウ</t>
    </rPh>
    <phoneticPr fontId="1"/>
  </si>
  <si>
    <t>バトルの制限時間</t>
    <rPh sb="4" eb="8">
      <t>セイゲンジカン</t>
    </rPh>
    <phoneticPr fontId="1"/>
  </si>
  <si>
    <t>勝率加算値 = ((基準勝率に加算する値max - 基準勝率に加算する値min) / 100f) × 応援ゲージ値(0f~100f)</t>
    <rPh sb="0" eb="2">
      <t>ショウリツ</t>
    </rPh>
    <rPh sb="2" eb="5">
      <t>カサンアタイ</t>
    </rPh>
    <phoneticPr fontId="1"/>
  </si>
  <si>
    <t>応援ボタン押下時のゲージ加算値(min)</t>
    <rPh sb="0" eb="2">
      <t>オウエン</t>
    </rPh>
    <rPh sb="5" eb="8">
      <t>オウカジ</t>
    </rPh>
    <rPh sb="12" eb="14">
      <t>カサン</t>
    </rPh>
    <rPh sb="14" eb="15">
      <t>アタイ</t>
    </rPh>
    <phoneticPr fontId="1"/>
  </si>
  <si>
    <t>応援ボタン押下時のゲージ加算値(max)</t>
    <rPh sb="0" eb="2">
      <t>オウエン</t>
    </rPh>
    <rPh sb="5" eb="8">
      <t>オウカジ</t>
    </rPh>
    <rPh sb="12" eb="14">
      <t>カサン</t>
    </rPh>
    <rPh sb="14" eb="15">
      <t>アタイ</t>
    </rPh>
    <phoneticPr fontId="1"/>
  </si>
  <si>
    <t>おうえんゲージの初期値</t>
    <rPh sb="8" eb="10">
      <t>ショキ</t>
    </rPh>
    <rPh sb="10" eb="11">
      <t>アタイ</t>
    </rPh>
    <phoneticPr fontId="1"/>
  </si>
  <si>
    <t>無操作時の、応援ゲージの減少スピード(ポイント/s)</t>
    <rPh sb="0" eb="4">
      <t>ムソウサジ</t>
    </rPh>
    <rPh sb="6" eb="8">
      <t>オウエン</t>
    </rPh>
    <rPh sb="12" eb="14">
      <t>ゲンショウ</t>
    </rPh>
    <phoneticPr fontId="1"/>
  </si>
  <si>
    <t>バトルに乱入したエドッコのチームの勝率加算値(min)</t>
    <rPh sb="4" eb="6">
      <t>ランニュウ</t>
    </rPh>
    <rPh sb="17" eb="19">
      <t>ショウリツ</t>
    </rPh>
    <rPh sb="19" eb="21">
      <t>カサン</t>
    </rPh>
    <rPh sb="21" eb="22">
      <t>アタイ</t>
    </rPh>
    <phoneticPr fontId="1"/>
  </si>
  <si>
    <t>バトルに乱入したエドッコのチームの勝率加算値(max)</t>
    <rPh sb="4" eb="6">
      <t>ランニュウ</t>
    </rPh>
    <rPh sb="17" eb="19">
      <t>ショウリツ</t>
    </rPh>
    <rPh sb="19" eb="21">
      <t>カサン</t>
    </rPh>
    <rPh sb="21" eb="22">
      <t>アタイ</t>
    </rPh>
    <phoneticPr fontId="1"/>
  </si>
  <si>
    <t>エドッコの移動スピード(min)</t>
    <rPh sb="5" eb="7">
      <t>イドウ</t>
    </rPh>
    <phoneticPr fontId="1"/>
  </si>
  <si>
    <t>エドッコの移動スピード(max)</t>
    <rPh sb="5" eb="7">
      <t>イドウ</t>
    </rPh>
    <phoneticPr fontId="1"/>
  </si>
  <si>
    <t>エドッコ勝負の戦闘時間(min)</t>
    <rPh sb="4" eb="6">
      <t>ショウブ</t>
    </rPh>
    <rPh sb="7" eb="9">
      <t>セントウ</t>
    </rPh>
    <rPh sb="9" eb="11">
      <t>ジカン</t>
    </rPh>
    <phoneticPr fontId="1"/>
  </si>
  <si>
    <t>声での応援を受け付ける音量基準(dB・以上)</t>
    <rPh sb="0" eb="1">
      <t>コエ</t>
    </rPh>
    <rPh sb="3" eb="5">
      <t>オウエン</t>
    </rPh>
    <rPh sb="6" eb="7">
      <t>ウ</t>
    </rPh>
    <rPh sb="8" eb="9">
      <t>ツ</t>
    </rPh>
    <rPh sb="11" eb="13">
      <t>オンリョウ</t>
    </rPh>
    <rPh sb="19" eb="21">
      <t>イジョウ</t>
    </rPh>
    <phoneticPr fontId="1"/>
  </si>
  <si>
    <t>声での応援によるゲージ加算値(min・1秒あたり)</t>
    <rPh sb="0" eb="1">
      <t>コエ</t>
    </rPh>
    <rPh sb="3" eb="5">
      <t>オウエン</t>
    </rPh>
    <rPh sb="11" eb="14">
      <t>カサンアタイ</t>
    </rPh>
    <rPh sb="20" eb="21">
      <t>ビョウ</t>
    </rPh>
    <phoneticPr fontId="1"/>
  </si>
  <si>
    <t>声での応援によるゲージ加算値(max・1秒あたり)</t>
    <rPh sb="0" eb="1">
      <t>コエ</t>
    </rPh>
    <rPh sb="3" eb="5">
      <t>オウエン</t>
    </rPh>
    <rPh sb="11" eb="14">
      <t>カサンアタイ</t>
    </rPh>
    <phoneticPr fontId="1"/>
  </si>
  <si>
    <t>バトル勝率基準に加算する値（min）</t>
    <rPh sb="3" eb="5">
      <t>ショウリツ</t>
    </rPh>
    <rPh sb="5" eb="7">
      <t>キジュン</t>
    </rPh>
    <rPh sb="8" eb="10">
      <t>カサン</t>
    </rPh>
    <rPh sb="12" eb="13">
      <t>アタイ</t>
    </rPh>
    <phoneticPr fontId="1"/>
  </si>
  <si>
    <t>バトル勝率基準に加算する値（max）</t>
    <rPh sb="3" eb="5">
      <t>ショウリツ</t>
    </rPh>
    <rPh sb="5" eb="7">
      <t>キジュン</t>
    </rPh>
    <rPh sb="8" eb="10">
      <t>カサン</t>
    </rPh>
    <rPh sb="12" eb="13">
      <t>アタイ</t>
    </rPh>
    <phoneticPr fontId="1"/>
  </si>
  <si>
    <t>バトルに乱入された時の、その戦闘時間の加算値(min)</t>
    <rPh sb="4" eb="6">
      <t>ランニュウ</t>
    </rPh>
    <rPh sb="9" eb="10">
      <t>トキ</t>
    </rPh>
    <rPh sb="14" eb="18">
      <t>セントウジカン</t>
    </rPh>
    <rPh sb="19" eb="21">
      <t>カサン</t>
    </rPh>
    <rPh sb="21" eb="22">
      <t>アタイ</t>
    </rPh>
    <phoneticPr fontId="1"/>
  </si>
  <si>
    <t>バトルに乱入された時の、その戦闘時間の加算値(max)</t>
    <rPh sb="4" eb="6">
      <t>ランニュウ</t>
    </rPh>
    <rPh sb="9" eb="10">
      <t>トキ</t>
    </rPh>
    <rPh sb="14" eb="18">
      <t>セントウジカン</t>
    </rPh>
    <rPh sb="19" eb="21">
      <t>カサン</t>
    </rPh>
    <rPh sb="21" eb="22">
      <t>アタイ</t>
    </rPh>
    <phoneticPr fontId="1"/>
  </si>
  <si>
    <t>エドッコの全体数基準（短）</t>
    <rPh sb="5" eb="7">
      <t>ゼンタイ</t>
    </rPh>
    <rPh sb="7" eb="8">
      <t>スウ</t>
    </rPh>
    <rPh sb="8" eb="10">
      <t>キジュン</t>
    </rPh>
    <rPh sb="11" eb="12">
      <t>ミジカ</t>
    </rPh>
    <phoneticPr fontId="1"/>
  </si>
  <si>
    <t>エドッコの全体数基準（中）</t>
    <rPh sb="5" eb="7">
      <t>ゼンタイ</t>
    </rPh>
    <rPh sb="7" eb="8">
      <t>スウ</t>
    </rPh>
    <rPh sb="8" eb="10">
      <t>キジュン</t>
    </rPh>
    <rPh sb="11" eb="12">
      <t>チュウ</t>
    </rPh>
    <phoneticPr fontId="1"/>
  </si>
  <si>
    <t>エドッコの全体数基準（長）</t>
    <rPh sb="5" eb="7">
      <t>ゼンタイ</t>
    </rPh>
    <rPh sb="7" eb="8">
      <t>スウ</t>
    </rPh>
    <rPh sb="8" eb="10">
      <t>キジュン</t>
    </rPh>
    <rPh sb="11" eb="12">
      <t>ナガ</t>
    </rPh>
    <phoneticPr fontId="1"/>
  </si>
  <si>
    <t>バトル勝率基準（有利・自分だけ生き残る率・%）</t>
    <rPh sb="3" eb="5">
      <t>ショウリツ</t>
    </rPh>
    <rPh sb="5" eb="7">
      <t>キジュン</t>
    </rPh>
    <rPh sb="8" eb="10">
      <t>ユウリ</t>
    </rPh>
    <rPh sb="11" eb="13">
      <t>ジブン</t>
    </rPh>
    <rPh sb="15" eb="16">
      <t>イ</t>
    </rPh>
    <rPh sb="17" eb="18">
      <t>ノコ</t>
    </rPh>
    <rPh sb="19" eb="20">
      <t>リツ</t>
    </rPh>
    <phoneticPr fontId="1"/>
  </si>
  <si>
    <t>バトル勝率基準（不利・自分だけ生き残る率・%）</t>
    <rPh sb="3" eb="5">
      <t>ショウリツ</t>
    </rPh>
    <rPh sb="8" eb="10">
      <t>フリ</t>
    </rPh>
    <phoneticPr fontId="1"/>
  </si>
  <si>
    <t>バトル勝率基準（同種・自分だけ生き残る率・%）</t>
    <rPh sb="3" eb="5">
      <t>ショウリツ</t>
    </rPh>
    <rPh sb="8" eb="9">
      <t>ドウ</t>
    </rPh>
    <phoneticPr fontId="1"/>
  </si>
  <si>
    <t>勝率 = バトル勝率基準 + 勝率加算値</t>
    <rPh sb="0" eb="2">
      <t>ショウリツ</t>
    </rPh>
    <rPh sb="8" eb="12">
      <t>ショウリツキジュン</t>
    </rPh>
    <rPh sb="15" eb="17">
      <t>ショウリツ</t>
    </rPh>
    <rPh sb="17" eb="19">
      <t>カサン</t>
    </rPh>
    <rPh sb="19" eb="20">
      <t>チ</t>
    </rPh>
    <phoneticPr fontId="1"/>
  </si>
  <si>
    <t>「相手のエドッコ数調整に使う乱数」に加算する値</t>
    <rPh sb="1" eb="3">
      <t>アイテ</t>
    </rPh>
    <rPh sb="8" eb="9">
      <t>スウ</t>
    </rPh>
    <rPh sb="9" eb="11">
      <t>チョウセイ</t>
    </rPh>
    <rPh sb="12" eb="13">
      <t>ツカ</t>
    </rPh>
    <rPh sb="14" eb="16">
      <t>ランスウ</t>
    </rPh>
    <rPh sb="18" eb="20">
      <t>カサン</t>
    </rPh>
    <rPh sb="22" eb="23">
      <t>アタイ</t>
    </rPh>
    <phoneticPr fontId="1"/>
  </si>
  <si>
    <t>おうえんボタン押下後から、無操作と判定するまでの時間(s)</t>
    <rPh sb="7" eb="10">
      <t>オウカゴ</t>
    </rPh>
    <rPh sb="13" eb="16">
      <t>ムソウサ</t>
    </rPh>
    <rPh sb="17" eb="19">
      <t>ハンテイ</t>
    </rPh>
    <rPh sb="24" eb="26">
      <t>ジカン</t>
    </rPh>
    <phoneticPr fontId="1"/>
  </si>
  <si>
    <t>おうえんによる勝率調整値に乗ずる値（不利）</t>
    <rPh sb="7" eb="9">
      <t>ショウリツ</t>
    </rPh>
    <rPh sb="9" eb="12">
      <t>チョウセイチ</t>
    </rPh>
    <rPh sb="13" eb="14">
      <t>ジョウ</t>
    </rPh>
    <rPh sb="16" eb="17">
      <t>アタイ</t>
    </rPh>
    <rPh sb="18" eb="20">
      <t>フリ</t>
    </rPh>
    <phoneticPr fontId="1"/>
  </si>
  <si>
    <t>おうえんによる勝率調整値に乗ずる値（有利）</t>
    <rPh sb="7" eb="9">
      <t>ショウリツ</t>
    </rPh>
    <rPh sb="9" eb="12">
      <t>チョウセイチ</t>
    </rPh>
    <rPh sb="13" eb="14">
      <t>ジョウ</t>
    </rPh>
    <rPh sb="16" eb="17">
      <t>アタイ</t>
    </rPh>
    <rPh sb="18" eb="20">
      <t>ユウリ</t>
    </rPh>
    <phoneticPr fontId="1"/>
  </si>
  <si>
    <t>おうえんによる勝率調整値に乗ずる値（同種）</t>
    <rPh sb="7" eb="9">
      <t>ショウリツ</t>
    </rPh>
    <rPh sb="9" eb="12">
      <t>チョウセイチ</t>
    </rPh>
    <rPh sb="13" eb="14">
      <t>ジョウ</t>
    </rPh>
    <rPh sb="16" eb="17">
      <t>アタイ</t>
    </rPh>
    <rPh sb="18" eb="20">
      <t>ドウシュ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</si>
</sst>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C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 vertical="center"/>
    </xf>
  </cellXfs>
  <cellStyles count="1">
    <cellStyle name="標準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Yu Gothic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1C90E-CF43-4A67-A890-860C174FAF5C}" name="テーブル2" displayName="テーブル2" ref="A1:C30" totalsRowShown="0" headerRowDxfId="3">
  <autoFilter ref="A1:C30" xr:uid="{E661C90E-CF43-4A67-A890-860C174FAF5C}">
    <filterColumn colId="0" hiddenButton="1"/>
    <filterColumn colId="1" hiddenButton="1"/>
    <filterColumn colId="2" hiddenButton="1"/>
  </autoFilter>
  <tableColumns count="3">
    <tableColumn id="1" xr3:uid="{F65241C4-9CEF-4107-8715-96CF332E20EC}" name="要素番号" dataDxfId="2">
      <calculatedColumnFormula>ROW()-2</calculatedColumnFormula>
    </tableColumn>
    <tableColumn id="2" xr3:uid="{72B04047-D1B1-49A9-B93E-9BBB7FA93AD0}" name="意味" dataDxfId="1"/>
    <tableColumn id="3" xr3:uid="{B76C789F-5918-4327-9871-08E2B9170A78}" name="n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9" workbookViewId="0">
      <selection activeCell="J23" sqref="J23"/>
    </sheetView>
  </sheetViews>
  <sheetFormatPr defaultRowHeight="18.75"/>
  <cols>
    <col min="1" max="1" width="10.25" customWidth="1"/>
    <col min="2" max="2" width="57.25" bestFit="1" customWidth="1"/>
    <col min="3" max="3" width="9.5" bestFit="1" customWidth="1"/>
    <col min="4" max="4" width="3.75" customWidth="1"/>
  </cols>
  <sheetData>
    <row r="1" spans="1:3">
      <c r="A1" s="3" t="s">
        <v>2</v>
      </c>
      <c r="B1" s="3" t="s">
        <v>1</v>
      </c>
      <c r="C1" s="3" t="s">
        <v>0</v>
      </c>
    </row>
    <row r="2" spans="1:3">
      <c r="A2" s="4">
        <f t="shared" ref="A2:A4" si="0">ROW()-2</f>
        <v>0</v>
      </c>
      <c r="B2" s="5" t="s">
        <v>21</v>
      </c>
      <c r="C2" s="4">
        <v>33</v>
      </c>
    </row>
    <row r="3" spans="1:3">
      <c r="A3" s="4">
        <f t="shared" si="0"/>
        <v>1</v>
      </c>
      <c r="B3" s="5" t="s">
        <v>22</v>
      </c>
      <c r="C3" s="4">
        <v>72</v>
      </c>
    </row>
    <row r="4" spans="1:3">
      <c r="A4" s="4">
        <f t="shared" si="0"/>
        <v>2</v>
      </c>
      <c r="B4" s="5" t="s">
        <v>23</v>
      </c>
      <c r="C4" s="4">
        <v>120</v>
      </c>
    </row>
    <row r="5" spans="1:3">
      <c r="A5" s="4">
        <f t="shared" ref="A5:A11" si="1">ROW()-2</f>
        <v>3</v>
      </c>
      <c r="B5" s="5" t="s">
        <v>3</v>
      </c>
      <c r="C5" s="4">
        <v>30</v>
      </c>
    </row>
    <row r="6" spans="1:3">
      <c r="A6" s="4">
        <f t="shared" si="1"/>
        <v>4</v>
      </c>
      <c r="B6" s="5" t="s">
        <v>11</v>
      </c>
      <c r="C6" s="4">
        <v>0.6</v>
      </c>
    </row>
    <row r="7" spans="1:3">
      <c r="A7" s="4">
        <f t="shared" si="1"/>
        <v>5</v>
      </c>
      <c r="B7" s="5" t="s">
        <v>12</v>
      </c>
      <c r="C7" s="4">
        <v>2.2000000000000002</v>
      </c>
    </row>
    <row r="8" spans="1:3">
      <c r="A8" s="4">
        <f t="shared" si="1"/>
        <v>6</v>
      </c>
      <c r="B8" s="5" t="s">
        <v>7</v>
      </c>
      <c r="C8" s="4">
        <v>30</v>
      </c>
    </row>
    <row r="9" spans="1:3">
      <c r="A9" s="4">
        <f t="shared" si="1"/>
        <v>7</v>
      </c>
      <c r="B9" s="5" t="s">
        <v>5</v>
      </c>
      <c r="C9" s="4">
        <v>1.2</v>
      </c>
    </row>
    <row r="10" spans="1:3">
      <c r="A10" s="4">
        <f t="shared" si="1"/>
        <v>8</v>
      </c>
      <c r="B10" s="5" t="s">
        <v>6</v>
      </c>
      <c r="C10" s="4">
        <v>2.1</v>
      </c>
    </row>
    <row r="11" spans="1:3">
      <c r="A11" s="4">
        <f t="shared" si="1"/>
        <v>9</v>
      </c>
      <c r="B11" s="5" t="s">
        <v>14</v>
      </c>
      <c r="C11" s="4">
        <v>75</v>
      </c>
    </row>
    <row r="12" spans="1:3">
      <c r="A12" s="4">
        <f t="shared" ref="A12:A13" si="2">ROW()-2</f>
        <v>10</v>
      </c>
      <c r="B12" s="5" t="s">
        <v>15</v>
      </c>
      <c r="C12" s="4">
        <v>0.7</v>
      </c>
    </row>
    <row r="13" spans="1:3">
      <c r="A13" s="4">
        <f t="shared" si="2"/>
        <v>11</v>
      </c>
      <c r="B13" s="5" t="s">
        <v>16</v>
      </c>
      <c r="C13" s="4">
        <v>1.35</v>
      </c>
    </row>
    <row r="14" spans="1:3">
      <c r="A14" s="4">
        <f t="shared" ref="A14:A25" si="3">ROW()-2</f>
        <v>12</v>
      </c>
      <c r="B14" s="5" t="s">
        <v>8</v>
      </c>
      <c r="C14" s="4">
        <v>-2.1</v>
      </c>
    </row>
    <row r="15" spans="1:3">
      <c r="A15" s="4">
        <f t="shared" si="3"/>
        <v>13</v>
      </c>
      <c r="B15" s="5" t="s">
        <v>24</v>
      </c>
      <c r="C15">
        <v>94.6</v>
      </c>
    </row>
    <row r="16" spans="1:3">
      <c r="A16" s="4">
        <f t="shared" si="3"/>
        <v>14</v>
      </c>
      <c r="B16" s="5" t="s">
        <v>25</v>
      </c>
      <c r="C16">
        <v>2.5</v>
      </c>
    </row>
    <row r="17" spans="1:5">
      <c r="A17" s="4">
        <f t="shared" si="3"/>
        <v>15</v>
      </c>
      <c r="B17" s="5" t="s">
        <v>26</v>
      </c>
      <c r="C17">
        <v>4</v>
      </c>
    </row>
    <row r="18" spans="1:5">
      <c r="A18" s="4">
        <f t="shared" si="3"/>
        <v>16</v>
      </c>
      <c r="B18" s="5" t="s">
        <v>17</v>
      </c>
      <c r="C18" s="4">
        <f>-0.35</f>
        <v>-0.35</v>
      </c>
      <c r="E18" s="2" t="s">
        <v>27</v>
      </c>
    </row>
    <row r="19" spans="1:5">
      <c r="A19" s="4">
        <f t="shared" si="3"/>
        <v>17</v>
      </c>
      <c r="B19" s="5" t="s">
        <v>18</v>
      </c>
      <c r="C19" s="4">
        <f>2.4</f>
        <v>2.4</v>
      </c>
      <c r="E19" s="1" t="s">
        <v>4</v>
      </c>
    </row>
    <row r="20" spans="1:5">
      <c r="A20" s="4">
        <f t="shared" si="3"/>
        <v>18</v>
      </c>
      <c r="B20" s="5" t="s">
        <v>9</v>
      </c>
      <c r="C20" s="4">
        <v>0.01</v>
      </c>
    </row>
    <row r="21" spans="1:5">
      <c r="A21" s="4">
        <f t="shared" si="3"/>
        <v>19</v>
      </c>
      <c r="B21" s="5" t="s">
        <v>10</v>
      </c>
      <c r="C21" s="4">
        <v>1.4999999999999999E-2</v>
      </c>
    </row>
    <row r="22" spans="1:5">
      <c r="A22" s="4">
        <f t="shared" si="3"/>
        <v>20</v>
      </c>
      <c r="B22" s="5" t="s">
        <v>13</v>
      </c>
      <c r="C22" s="4">
        <v>0.82</v>
      </c>
    </row>
    <row r="23" spans="1:5">
      <c r="A23" s="4">
        <f t="shared" si="3"/>
        <v>21</v>
      </c>
      <c r="B23" s="5" t="s">
        <v>13</v>
      </c>
      <c r="C23" s="4">
        <v>4.7</v>
      </c>
    </row>
    <row r="24" spans="1:5">
      <c r="A24" s="4">
        <f t="shared" si="3"/>
        <v>22</v>
      </c>
      <c r="B24" s="5" t="s">
        <v>19</v>
      </c>
      <c r="C24" s="4">
        <v>0.8</v>
      </c>
    </row>
    <row r="25" spans="1:5">
      <c r="A25" s="4">
        <f t="shared" si="3"/>
        <v>23</v>
      </c>
      <c r="B25" s="5" t="s">
        <v>20</v>
      </c>
      <c r="C25" s="4">
        <v>2.7</v>
      </c>
    </row>
    <row r="26" spans="1:5">
      <c r="A26" s="4">
        <f>ROW()-2</f>
        <v>24</v>
      </c>
      <c r="B26" s="5" t="s">
        <v>28</v>
      </c>
      <c r="C26" s="4">
        <v>-0.15</v>
      </c>
    </row>
    <row r="27" spans="1:5">
      <c r="A27" s="4">
        <f>ROW()-2</f>
        <v>25</v>
      </c>
      <c r="B27" s="5" t="s">
        <v>29</v>
      </c>
      <c r="C27" s="4">
        <v>1</v>
      </c>
    </row>
    <row r="28" spans="1:5">
      <c r="A28" s="6">
        <f>ROW()-2</f>
        <v>26</v>
      </c>
      <c r="B28" s="7" t="s">
        <v>31</v>
      </c>
      <c r="C28" s="6">
        <v>1</v>
      </c>
    </row>
    <row r="29" spans="1:5">
      <c r="A29" s="6">
        <f t="shared" ref="A29:A30" si="4">ROW()-2</f>
        <v>27</v>
      </c>
      <c r="B29" s="7" t="s">
        <v>30</v>
      </c>
      <c r="C29" s="6">
        <v>10</v>
      </c>
    </row>
    <row r="30" spans="1:5">
      <c r="A30" s="6">
        <f t="shared" si="4"/>
        <v>28</v>
      </c>
      <c r="B30" s="7" t="s">
        <v>32</v>
      </c>
      <c r="C30" s="6">
        <v>5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涼平 島村</cp:lastModifiedBy>
  <dcterms:created xsi:type="dcterms:W3CDTF">2015-06-05T18:19:34Z</dcterms:created>
  <dcterms:modified xsi:type="dcterms:W3CDTF">2025-01-25T08:12:00Z</dcterms:modified>
</cp:coreProperties>
</file>