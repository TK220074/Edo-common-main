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C_Battle\Stage\"/>
    </mc:Choice>
  </mc:AlternateContent>
  <xr:revisionPtr revIDLastSave="0" documentId="13_ncr:1_{52845083-6F5E-4891-9490-47C2F37A41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F2" i="1"/>
  <c r="D3" i="1"/>
  <c r="D51" i="1"/>
  <c r="F5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A5" i="1"/>
  <c r="A6" i="1"/>
  <c r="A3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4" i="1"/>
</calcChain>
</file>

<file path=xl/sharedStrings.xml><?xml version="1.0" encoding="utf-8"?>
<sst xmlns="http://schemas.openxmlformats.org/spreadsheetml/2006/main" count="200" uniqueCount="81">
  <si>
    <t>id</t>
    <phoneticPr fontId="2"/>
  </si>
  <si>
    <t>name</t>
    <phoneticPr fontId="2"/>
  </si>
  <si>
    <t>explain</t>
    <phoneticPr fontId="2"/>
  </si>
  <si>
    <t>enemyKomonId</t>
    <phoneticPr fontId="2"/>
  </si>
  <si>
    <t>getMoney_first</t>
    <phoneticPr fontId="2"/>
  </si>
  <si>
    <t>getMoney_after</t>
    <phoneticPr fontId="2"/>
  </si>
  <si>
    <t>hasWorkspace</t>
    <phoneticPr fontId="2"/>
  </si>
  <si>
    <t>enemyName</t>
    <phoneticPr fontId="2"/>
  </si>
  <si>
    <t>getItemId_first</t>
    <phoneticPr fontId="2"/>
  </si>
  <si>
    <t>getItemId_after</t>
    <phoneticPr fontId="2"/>
  </si>
  <si>
    <t>battleSceneId</t>
    <phoneticPr fontId="2"/>
  </si>
  <si>
    <t>getItemId_reconnaissance</t>
    <phoneticPr fontId="2"/>
  </si>
  <si>
    <t>0,2,3</t>
    <phoneticPr fontId="2"/>
  </si>
  <si>
    <t>0,2,3</t>
  </si>
  <si>
    <t>31,32</t>
    <phoneticPr fontId="2"/>
  </si>
  <si>
    <t>31,32,33,34,35,36</t>
    <phoneticPr fontId="2"/>
  </si>
  <si>
    <t>シンジュク</t>
    <phoneticPr fontId="2"/>
  </si>
  <si>
    <t>チヨダ</t>
    <phoneticPr fontId="2"/>
  </si>
  <si>
    <t>チューオウ</t>
    <phoneticPr fontId="2"/>
  </si>
  <si>
    <t>ミナト</t>
    <phoneticPr fontId="2"/>
  </si>
  <si>
    <t>ブンキョ</t>
    <phoneticPr fontId="2"/>
  </si>
  <si>
    <t>タイトウ</t>
    <phoneticPr fontId="2"/>
  </si>
  <si>
    <t>スミダ</t>
    <phoneticPr fontId="2"/>
  </si>
  <si>
    <t>コートー</t>
    <phoneticPr fontId="2"/>
  </si>
  <si>
    <t>シナガワ</t>
    <phoneticPr fontId="2"/>
  </si>
  <si>
    <t>メグロ</t>
    <phoneticPr fontId="2"/>
  </si>
  <si>
    <t>オータ</t>
    <phoneticPr fontId="2"/>
  </si>
  <si>
    <t>セタガヤ</t>
    <phoneticPr fontId="2"/>
  </si>
  <si>
    <t>シブヤ</t>
    <phoneticPr fontId="2"/>
  </si>
  <si>
    <t>ナカノ</t>
    <phoneticPr fontId="2"/>
  </si>
  <si>
    <t>スギナミ</t>
    <phoneticPr fontId="2"/>
  </si>
  <si>
    <t>トシマ</t>
    <phoneticPr fontId="2"/>
  </si>
  <si>
    <t>キタ</t>
    <phoneticPr fontId="2"/>
  </si>
  <si>
    <t>アラカワ</t>
    <phoneticPr fontId="2"/>
  </si>
  <si>
    <t>イタバシ</t>
    <phoneticPr fontId="2"/>
  </si>
  <si>
    <t>ネリマ</t>
    <phoneticPr fontId="2"/>
  </si>
  <si>
    <t>アダチ</t>
    <phoneticPr fontId="2"/>
  </si>
  <si>
    <t>カツシカ</t>
    <phoneticPr fontId="2"/>
  </si>
  <si>
    <t>エドガワ</t>
    <phoneticPr fontId="2"/>
  </si>
  <si>
    <t>ハチオージ</t>
    <phoneticPr fontId="2"/>
  </si>
  <si>
    <t>タチカワ</t>
    <phoneticPr fontId="2"/>
  </si>
  <si>
    <t>ムサシノ</t>
    <phoneticPr fontId="2"/>
  </si>
  <si>
    <t>ミタカ</t>
    <phoneticPr fontId="2"/>
  </si>
  <si>
    <t>オウメ</t>
    <phoneticPr fontId="2"/>
  </si>
  <si>
    <t>フチュー</t>
    <phoneticPr fontId="2"/>
  </si>
  <si>
    <t>アキシマ</t>
    <phoneticPr fontId="2"/>
  </si>
  <si>
    <t>チョーフ</t>
    <phoneticPr fontId="2"/>
  </si>
  <si>
    <t>マチダ</t>
    <phoneticPr fontId="2"/>
  </si>
  <si>
    <t>コガネイ</t>
    <phoneticPr fontId="2"/>
  </si>
  <si>
    <t>コダイラ</t>
    <phoneticPr fontId="2"/>
  </si>
  <si>
    <t>ヒノ</t>
    <phoneticPr fontId="2"/>
  </si>
  <si>
    <t>コクブンジ</t>
    <phoneticPr fontId="2"/>
  </si>
  <si>
    <t>クニタチ</t>
    <phoneticPr fontId="2"/>
  </si>
  <si>
    <t>フッサ</t>
    <phoneticPr fontId="2"/>
  </si>
  <si>
    <t>コマエ</t>
    <phoneticPr fontId="2"/>
  </si>
  <si>
    <t>キヨセ</t>
    <phoneticPr fontId="2"/>
  </si>
  <si>
    <t>タマ</t>
    <phoneticPr fontId="2"/>
  </si>
  <si>
    <t>イナギ</t>
    <phoneticPr fontId="2"/>
  </si>
  <si>
    <t>ハムラ</t>
    <phoneticPr fontId="2"/>
  </si>
  <si>
    <t>アキルノ</t>
    <phoneticPr fontId="2"/>
  </si>
  <si>
    <t>ニシトーキョー</t>
    <phoneticPr fontId="2"/>
  </si>
  <si>
    <t>ミズホ</t>
    <phoneticPr fontId="2"/>
  </si>
  <si>
    <t>ヒノデ</t>
    <phoneticPr fontId="2"/>
  </si>
  <si>
    <t>ヒノハラ</t>
    <phoneticPr fontId="2"/>
  </si>
  <si>
    <t>オクタマ</t>
    <phoneticPr fontId="2"/>
  </si>
  <si>
    <t>オオシマ</t>
    <phoneticPr fontId="2"/>
  </si>
  <si>
    <t>トシマム</t>
    <phoneticPr fontId="2"/>
  </si>
  <si>
    <t>ニイジマ</t>
    <phoneticPr fontId="2"/>
  </si>
  <si>
    <t>コウヅシマ</t>
    <phoneticPr fontId="2"/>
  </si>
  <si>
    <t>ミヤケ</t>
    <phoneticPr fontId="2"/>
  </si>
  <si>
    <t>ミクラジマ</t>
    <phoneticPr fontId="2"/>
  </si>
  <si>
    <t>ハチジョー</t>
    <phoneticPr fontId="2"/>
  </si>
  <si>
    <t>オガサワラ</t>
    <phoneticPr fontId="2"/>
  </si>
  <si>
    <t>ムサシム</t>
    <phoneticPr fontId="2"/>
  </si>
  <si>
    <t>ヒガシクル</t>
    <phoneticPr fontId="2"/>
  </si>
  <si>
    <t>ヒガシマト</t>
    <phoneticPr fontId="2"/>
  </si>
  <si>
    <t>ヒガシヤマ</t>
    <phoneticPr fontId="2"/>
  </si>
  <si>
    <t>アオガシマ</t>
    <phoneticPr fontId="2"/>
  </si>
  <si>
    <t>scenarioId_beforeStart</t>
    <phoneticPr fontId="2"/>
  </si>
  <si>
    <t>scenarioId_afterClear</t>
    <phoneticPr fontId="2"/>
  </si>
  <si>
    <t>チュートリアル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</si>
</sst>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b/>
      <sz val="11"/>
      <color theme="0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b/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</cellXfs>
  <cellStyles count="1">
    <cellStyle name="標準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Yu Gothic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05CB96-1742-4D80-B685-BD73242F4629}" name="テーブル3" displayName="テーブル3" ref="A1:N64" totalsRowShown="0" headerRowDxfId="16" dataDxfId="15" tableBorderDxfId="14">
  <autoFilter ref="A1:N64" xr:uid="{7005CB96-1742-4D80-B685-BD73242F46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0F64BD0-A086-417C-8E5B-E5851E0FF3E2}" name="id" dataDxfId="13">
      <calculatedColumnFormula>ROW()-2</calculatedColumnFormula>
    </tableColumn>
    <tableColumn id="12" xr3:uid="{5601998C-3289-4FAB-B82B-52CB95989C60}" name="battleSceneId" dataDxfId="12"/>
    <tableColumn id="2" xr3:uid="{0DB2D9F4-DE0F-4E0F-A2BD-3921D18250BC}" name="name" dataDxfId="11"/>
    <tableColumn id="3" xr3:uid="{1A0044E8-A38A-484D-81CF-E817D196B885}" name="explain" dataDxfId="10">
      <calculatedColumnFormula>テーブル3[[#This Row],[name]]&amp;"のエリア説明サメ！（仮）"</calculatedColumnFormula>
    </tableColumn>
    <tableColumn id="9" xr3:uid="{601814ED-8182-4CC4-8D45-ADC1DEC93BFC}" name="hasWorkspace" dataDxfId="9"/>
    <tableColumn id="11" xr3:uid="{1FE5872D-E867-4227-9F67-257D2F8A0F3C}" name="enemyName" dataDxfId="8">
      <calculatedColumnFormula>テーブル3[[#This Row],[name]]&amp;"の敵名(仮)"</calculatedColumnFormula>
    </tableColumn>
    <tableColumn id="4" xr3:uid="{8F698994-971E-49DB-B161-E1133C3800B3}" name="enemyKomonId" dataDxfId="7"/>
    <tableColumn id="14" xr3:uid="{1ADC6295-5C8E-460D-8234-0BDB64893CB8}" name="scenarioId_beforeStart" dataDxfId="6"/>
    <tableColumn id="15" xr3:uid="{E32F7770-DBD7-45DD-9768-167CB0B03AF4}" name="scenarioId_afterClear" dataDxfId="5"/>
    <tableColumn id="5" xr3:uid="{68386CB1-1224-457D-BC92-2B14D5BBA303}" name="getItemId_first" dataDxfId="4"/>
    <tableColumn id="6" xr3:uid="{85F5FE3F-F43D-44F8-B6ED-21DFB5A15192}" name="getItemId_after" dataDxfId="3"/>
    <tableColumn id="7" xr3:uid="{3E2A6433-AA1D-4E7F-A33A-73F7B91C2C6D}" name="getMoney_first" dataDxfId="2"/>
    <tableColumn id="8" xr3:uid="{36BF1504-4D03-4D3D-946D-F2DC93C83603}" name="getMoney_after" dataDxfId="1"/>
    <tableColumn id="13" xr3:uid="{0596086A-F9AC-4FD5-ADA4-851F3FCAEE2D}" name="getItemId_reconnaiss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zoomScale="85" zoomScaleNormal="85" workbookViewId="0">
      <selection activeCell="L3" sqref="L3"/>
    </sheetView>
  </sheetViews>
  <sheetFormatPr defaultRowHeight="18.75"/>
  <cols>
    <col min="1" max="1" width="5.375" bestFit="1" customWidth="1"/>
    <col min="2" max="2" width="17" bestFit="1" customWidth="1"/>
    <col min="3" max="3" width="15.125" bestFit="1" customWidth="1"/>
    <col min="4" max="4" width="35.75" bestFit="1" customWidth="1"/>
    <col min="5" max="5" width="15.625" bestFit="1" customWidth="1"/>
    <col min="6" max="6" width="25.125" bestFit="1" customWidth="1"/>
    <col min="7" max="7" width="16.75" bestFit="1" customWidth="1"/>
    <col min="8" max="8" width="21.5" customWidth="1"/>
    <col min="9" max="9" width="20.125" customWidth="1"/>
    <col min="10" max="10" width="13.75" bestFit="1" customWidth="1"/>
    <col min="11" max="11" width="14.125" bestFit="1" customWidth="1"/>
    <col min="12" max="12" width="17" bestFit="1" customWidth="1"/>
    <col min="13" max="13" width="17.5" bestFit="1" customWidth="1"/>
    <col min="14" max="14" width="27.75" bestFit="1" customWidth="1"/>
  </cols>
  <sheetData>
    <row r="1" spans="1:14">
      <c r="A1" s="3" t="s">
        <v>0</v>
      </c>
      <c r="B1" s="3" t="s">
        <v>10</v>
      </c>
      <c r="C1" s="4" t="s">
        <v>1</v>
      </c>
      <c r="D1" s="4" t="s">
        <v>2</v>
      </c>
      <c r="E1" s="4" t="s">
        <v>6</v>
      </c>
      <c r="F1" s="4" t="s">
        <v>7</v>
      </c>
      <c r="G1" s="4" t="s">
        <v>3</v>
      </c>
      <c r="H1" s="4" t="s">
        <v>78</v>
      </c>
      <c r="I1" s="4" t="s">
        <v>79</v>
      </c>
      <c r="J1" s="4" t="s">
        <v>8</v>
      </c>
      <c r="K1" s="4" t="s">
        <v>9</v>
      </c>
      <c r="L1" s="4" t="s">
        <v>4</v>
      </c>
      <c r="M1" s="4" t="s">
        <v>5</v>
      </c>
      <c r="N1" s="4" t="s">
        <v>11</v>
      </c>
    </row>
    <row r="2" spans="1:14" s="16" customFormat="1" ht="18" customHeight="1">
      <c r="A2" s="11">
        <f>ROW()-2</f>
        <v>0</v>
      </c>
      <c r="B2" s="12"/>
      <c r="C2" s="13" t="s">
        <v>80</v>
      </c>
      <c r="D2" s="14"/>
      <c r="E2" s="10" t="b">
        <v>0</v>
      </c>
      <c r="F2" s="17" t="str">
        <f>テーブル3[[#This Row],[name]]&amp;"の敵名(仮)"</f>
        <v>チュートリアルの敵名(仮)</v>
      </c>
      <c r="G2" s="14">
        <v>0</v>
      </c>
      <c r="H2" s="18">
        <v>-1</v>
      </c>
      <c r="I2" s="18">
        <v>2</v>
      </c>
      <c r="J2" s="15">
        <v>-1</v>
      </c>
      <c r="K2" s="15">
        <v>-1</v>
      </c>
      <c r="L2" s="15">
        <v>5200</v>
      </c>
      <c r="M2" s="15">
        <v>0</v>
      </c>
      <c r="N2" s="15">
        <v>-1</v>
      </c>
    </row>
    <row r="3" spans="1:14">
      <c r="A3" s="7">
        <f t="shared" ref="A3:A35" si="0">ROW()-2</f>
        <v>1</v>
      </c>
      <c r="B3" s="7"/>
      <c r="C3" s="9" t="s">
        <v>16</v>
      </c>
      <c r="D3" s="8" t="str">
        <f>テーブル3[[#This Row],[name]]&amp;"のエリア説明サメ！（仮）"</f>
        <v>シンジュクのエリア説明サメ！（仮）</v>
      </c>
      <c r="E3" s="10" t="b">
        <v>0</v>
      </c>
      <c r="F3" s="6" t="str">
        <f>テーブル3[[#This Row],[name]]&amp;"の敵名(仮)"</f>
        <v>シンジュクの敵名(仮)</v>
      </c>
      <c r="G3" s="8">
        <v>1</v>
      </c>
      <c r="H3" s="8">
        <v>-1</v>
      </c>
      <c r="I3" s="8">
        <v>-1</v>
      </c>
      <c r="J3" t="s">
        <v>12</v>
      </c>
      <c r="K3">
        <v>-1</v>
      </c>
      <c r="L3" s="2">
        <v>1750</v>
      </c>
      <c r="M3" s="2">
        <v>306</v>
      </c>
      <c r="N3" t="s">
        <v>14</v>
      </c>
    </row>
    <row r="4" spans="1:14">
      <c r="A4" s="5">
        <f>ROW()-2</f>
        <v>2</v>
      </c>
      <c r="B4" s="5"/>
      <c r="C4" s="6" t="s">
        <v>17</v>
      </c>
      <c r="D4" s="1" t="str">
        <f>テーブル3[[#This Row],[name]]&amp;"のエリア説明サメ！（仮）"</f>
        <v>チヨダのエリア説明サメ！（仮）</v>
      </c>
      <c r="E4" s="10" t="b">
        <v>0</v>
      </c>
      <c r="F4" s="6" t="str">
        <f>テーブル3[[#This Row],[name]]&amp;"の敵名(仮)"</f>
        <v>チヨダの敵名(仮)</v>
      </c>
      <c r="G4" s="1">
        <v>2</v>
      </c>
      <c r="H4" s="8">
        <v>-1</v>
      </c>
      <c r="I4" s="8">
        <v>-1</v>
      </c>
      <c r="J4" t="s">
        <v>12</v>
      </c>
      <c r="K4">
        <v>-1</v>
      </c>
      <c r="L4" s="2">
        <v>1</v>
      </c>
      <c r="M4" s="2">
        <v>0</v>
      </c>
      <c r="N4">
        <v>-1</v>
      </c>
    </row>
    <row r="5" spans="1:14">
      <c r="A5" s="5">
        <f t="shared" si="0"/>
        <v>3</v>
      </c>
      <c r="B5" s="5"/>
      <c r="C5" s="6" t="s">
        <v>18</v>
      </c>
      <c r="D5" s="1" t="str">
        <f>テーブル3[[#This Row],[name]]&amp;"のエリア説明サメ！（仮）"</f>
        <v>チューオウのエリア説明サメ！（仮）</v>
      </c>
      <c r="E5" s="10" t="b">
        <v>0</v>
      </c>
      <c r="F5" s="6" t="str">
        <f>テーブル3[[#This Row],[name]]&amp;"の敵名(仮)"</f>
        <v>チューオウの敵名(仮)</v>
      </c>
      <c r="G5" s="8">
        <v>3</v>
      </c>
      <c r="H5" s="8">
        <v>-1</v>
      </c>
      <c r="I5" s="8">
        <v>-1</v>
      </c>
      <c r="J5" t="s">
        <v>13</v>
      </c>
      <c r="K5">
        <v>-1</v>
      </c>
      <c r="L5" s="2">
        <v>2</v>
      </c>
      <c r="M5" s="2">
        <v>1</v>
      </c>
      <c r="N5" t="s">
        <v>15</v>
      </c>
    </row>
    <row r="6" spans="1:14">
      <c r="A6" s="7">
        <f t="shared" si="0"/>
        <v>4</v>
      </c>
      <c r="B6" s="7"/>
      <c r="C6" s="9" t="s">
        <v>19</v>
      </c>
      <c r="D6" s="8" t="str">
        <f>テーブル3[[#This Row],[name]]&amp;"のエリア説明サメ！（仮）"</f>
        <v>ミナトのエリア説明サメ！（仮）</v>
      </c>
      <c r="E6" s="10" t="b">
        <v>0</v>
      </c>
      <c r="F6" s="6" t="str">
        <f>テーブル3[[#This Row],[name]]&amp;"の敵名(仮)"</f>
        <v>ミナトの敵名(仮)</v>
      </c>
      <c r="G6" s="1">
        <v>4</v>
      </c>
      <c r="H6" s="8">
        <v>-1</v>
      </c>
      <c r="I6" s="8">
        <v>-1</v>
      </c>
      <c r="J6" t="s">
        <v>13</v>
      </c>
      <c r="K6">
        <v>-1</v>
      </c>
      <c r="L6" s="2">
        <v>3</v>
      </c>
      <c r="M6" s="2">
        <v>2</v>
      </c>
      <c r="N6" t="s">
        <v>15</v>
      </c>
    </row>
    <row r="7" spans="1:14">
      <c r="A7" s="7">
        <f t="shared" si="0"/>
        <v>5</v>
      </c>
      <c r="B7" s="7"/>
      <c r="C7" s="9" t="s">
        <v>20</v>
      </c>
      <c r="D7" s="8" t="str">
        <f>テーブル3[[#This Row],[name]]&amp;"のエリア説明サメ！（仮）"</f>
        <v>ブンキョのエリア説明サメ！（仮）</v>
      </c>
      <c r="E7" s="10" t="b">
        <v>0</v>
      </c>
      <c r="F7" s="6" t="str">
        <f>テーブル3[[#This Row],[name]]&amp;"の敵名(仮)"</f>
        <v>ブンキョの敵名(仮)</v>
      </c>
      <c r="G7" s="8">
        <v>5</v>
      </c>
      <c r="H7" s="8">
        <v>-1</v>
      </c>
      <c r="I7" s="8">
        <v>-1</v>
      </c>
      <c r="J7" t="s">
        <v>13</v>
      </c>
      <c r="K7">
        <v>-1</v>
      </c>
      <c r="L7" s="2">
        <v>4</v>
      </c>
      <c r="M7" s="2">
        <v>3</v>
      </c>
      <c r="N7" t="s">
        <v>15</v>
      </c>
    </row>
    <row r="8" spans="1:14">
      <c r="A8" s="7">
        <f t="shared" si="0"/>
        <v>6</v>
      </c>
      <c r="B8" s="7"/>
      <c r="C8" s="9" t="s">
        <v>21</v>
      </c>
      <c r="D8" s="8" t="str">
        <f>テーブル3[[#This Row],[name]]&amp;"のエリア説明サメ！（仮）"</f>
        <v>タイトウのエリア説明サメ！（仮）</v>
      </c>
      <c r="E8" s="10" t="b">
        <v>1</v>
      </c>
      <c r="F8" s="6" t="str">
        <f>テーブル3[[#This Row],[name]]&amp;"の敵名(仮)"</f>
        <v>タイトウの敵名(仮)</v>
      </c>
      <c r="G8" s="1">
        <v>6</v>
      </c>
      <c r="H8" s="8">
        <v>-1</v>
      </c>
      <c r="I8" s="8">
        <v>-1</v>
      </c>
      <c r="J8" t="s">
        <v>13</v>
      </c>
      <c r="K8">
        <v>-1</v>
      </c>
      <c r="L8" s="2">
        <v>5</v>
      </c>
      <c r="M8" s="2">
        <v>4</v>
      </c>
      <c r="N8" t="s">
        <v>15</v>
      </c>
    </row>
    <row r="9" spans="1:14">
      <c r="A9" s="7">
        <f t="shared" si="0"/>
        <v>7</v>
      </c>
      <c r="B9" s="7"/>
      <c r="C9" s="9" t="s">
        <v>22</v>
      </c>
      <c r="D9" s="8" t="str">
        <f>テーブル3[[#This Row],[name]]&amp;"のエリア説明サメ！（仮）"</f>
        <v>スミダのエリア説明サメ！（仮）</v>
      </c>
      <c r="E9" s="10" t="b">
        <v>0</v>
      </c>
      <c r="F9" s="6" t="str">
        <f>テーブル3[[#This Row],[name]]&amp;"の敵名(仮)"</f>
        <v>スミダの敵名(仮)</v>
      </c>
      <c r="G9" s="8">
        <v>7</v>
      </c>
      <c r="H9" s="8">
        <v>-1</v>
      </c>
      <c r="I9" s="8">
        <v>-1</v>
      </c>
      <c r="J9" t="s">
        <v>13</v>
      </c>
      <c r="K9">
        <v>-1</v>
      </c>
      <c r="L9" s="2">
        <v>6</v>
      </c>
      <c r="M9" s="2">
        <v>5</v>
      </c>
      <c r="N9" t="s">
        <v>15</v>
      </c>
    </row>
    <row r="10" spans="1:14">
      <c r="A10" s="7">
        <f t="shared" si="0"/>
        <v>8</v>
      </c>
      <c r="B10" s="7"/>
      <c r="C10" s="9" t="s">
        <v>23</v>
      </c>
      <c r="D10" s="8" t="str">
        <f>テーブル3[[#This Row],[name]]&amp;"のエリア説明サメ！（仮）"</f>
        <v>コートーのエリア説明サメ！（仮）</v>
      </c>
      <c r="E10" s="10" t="b">
        <v>0</v>
      </c>
      <c r="F10" s="6" t="str">
        <f>テーブル3[[#This Row],[name]]&amp;"の敵名(仮)"</f>
        <v>コートーの敵名(仮)</v>
      </c>
      <c r="G10" s="1">
        <v>8</v>
      </c>
      <c r="H10" s="8">
        <v>-1</v>
      </c>
      <c r="I10" s="8">
        <v>-1</v>
      </c>
      <c r="J10" t="s">
        <v>13</v>
      </c>
      <c r="K10">
        <v>-1</v>
      </c>
      <c r="L10" s="2">
        <v>7</v>
      </c>
      <c r="M10" s="2">
        <v>6</v>
      </c>
      <c r="N10" t="s">
        <v>15</v>
      </c>
    </row>
    <row r="11" spans="1:14">
      <c r="A11" s="7">
        <f t="shared" si="0"/>
        <v>9</v>
      </c>
      <c r="B11" s="7"/>
      <c r="C11" s="9" t="s">
        <v>24</v>
      </c>
      <c r="D11" s="8" t="str">
        <f>テーブル3[[#This Row],[name]]&amp;"のエリア説明サメ！（仮）"</f>
        <v>シナガワのエリア説明サメ！（仮）</v>
      </c>
      <c r="E11" s="10" t="b">
        <v>0</v>
      </c>
      <c r="F11" s="6" t="str">
        <f>テーブル3[[#This Row],[name]]&amp;"の敵名(仮)"</f>
        <v>シナガワの敵名(仮)</v>
      </c>
      <c r="G11" s="8">
        <v>9</v>
      </c>
      <c r="H11" s="8">
        <v>-1</v>
      </c>
      <c r="I11" s="8">
        <v>-1</v>
      </c>
      <c r="J11" t="s">
        <v>13</v>
      </c>
      <c r="K11">
        <v>-1</v>
      </c>
      <c r="L11" s="2">
        <v>8</v>
      </c>
      <c r="M11" s="2">
        <v>7</v>
      </c>
      <c r="N11" t="s">
        <v>15</v>
      </c>
    </row>
    <row r="12" spans="1:14">
      <c r="A12" s="7">
        <f t="shared" si="0"/>
        <v>10</v>
      </c>
      <c r="B12" s="7"/>
      <c r="C12" s="9" t="s">
        <v>25</v>
      </c>
      <c r="D12" s="8" t="str">
        <f>テーブル3[[#This Row],[name]]&amp;"のエリア説明サメ！（仮）"</f>
        <v>メグロのエリア説明サメ！（仮）</v>
      </c>
      <c r="E12" s="10" t="b">
        <v>1</v>
      </c>
      <c r="F12" s="6" t="str">
        <f>テーブル3[[#This Row],[name]]&amp;"の敵名(仮)"</f>
        <v>メグロの敵名(仮)</v>
      </c>
      <c r="G12" s="1">
        <v>10</v>
      </c>
      <c r="H12" s="8">
        <v>-1</v>
      </c>
      <c r="I12" s="8">
        <v>-1</v>
      </c>
      <c r="J12" t="s">
        <v>13</v>
      </c>
      <c r="K12">
        <v>-1</v>
      </c>
      <c r="L12" s="2">
        <v>9</v>
      </c>
      <c r="M12" s="2">
        <v>8</v>
      </c>
      <c r="N12" t="s">
        <v>15</v>
      </c>
    </row>
    <row r="13" spans="1:14">
      <c r="A13" s="7">
        <f t="shared" si="0"/>
        <v>11</v>
      </c>
      <c r="B13" s="7"/>
      <c r="C13" s="9" t="s">
        <v>26</v>
      </c>
      <c r="D13" s="8" t="str">
        <f>テーブル3[[#This Row],[name]]&amp;"のエリア説明サメ！（仮）"</f>
        <v>オータのエリア説明サメ！（仮）</v>
      </c>
      <c r="E13" s="10" t="b">
        <v>0</v>
      </c>
      <c r="F13" s="6" t="str">
        <f>テーブル3[[#This Row],[name]]&amp;"の敵名(仮)"</f>
        <v>オータの敵名(仮)</v>
      </c>
      <c r="G13" s="8">
        <v>11</v>
      </c>
      <c r="H13" s="8">
        <v>-1</v>
      </c>
      <c r="I13" s="8">
        <v>-1</v>
      </c>
      <c r="J13" t="s">
        <v>13</v>
      </c>
      <c r="K13">
        <v>-1</v>
      </c>
      <c r="L13" s="2">
        <v>10</v>
      </c>
      <c r="M13" s="2">
        <v>9</v>
      </c>
      <c r="N13" t="s">
        <v>15</v>
      </c>
    </row>
    <row r="14" spans="1:14">
      <c r="A14" s="7">
        <f t="shared" si="0"/>
        <v>12</v>
      </c>
      <c r="B14" s="7"/>
      <c r="C14" s="9" t="s">
        <v>27</v>
      </c>
      <c r="D14" s="8" t="str">
        <f>テーブル3[[#This Row],[name]]&amp;"のエリア説明サメ！（仮）"</f>
        <v>セタガヤのエリア説明サメ！（仮）</v>
      </c>
      <c r="E14" s="10" t="b">
        <v>0</v>
      </c>
      <c r="F14" s="6" t="str">
        <f>テーブル3[[#This Row],[name]]&amp;"の敵名(仮)"</f>
        <v>セタガヤの敵名(仮)</v>
      </c>
      <c r="G14" s="1">
        <v>12</v>
      </c>
      <c r="H14" s="8">
        <v>-1</v>
      </c>
      <c r="I14" s="8">
        <v>-1</v>
      </c>
      <c r="J14" t="s">
        <v>13</v>
      </c>
      <c r="K14">
        <v>-1</v>
      </c>
      <c r="L14" s="2">
        <v>11</v>
      </c>
      <c r="M14" s="2">
        <v>10</v>
      </c>
      <c r="N14" t="s">
        <v>15</v>
      </c>
    </row>
    <row r="15" spans="1:14">
      <c r="A15" s="7">
        <f t="shared" si="0"/>
        <v>13</v>
      </c>
      <c r="B15" s="7"/>
      <c r="C15" s="9" t="s">
        <v>28</v>
      </c>
      <c r="D15" s="8" t="str">
        <f>テーブル3[[#This Row],[name]]&amp;"のエリア説明サメ！（仮）"</f>
        <v>シブヤのエリア説明サメ！（仮）</v>
      </c>
      <c r="E15" s="10" t="b">
        <v>0</v>
      </c>
      <c r="F15" s="6" t="str">
        <f>テーブル3[[#This Row],[name]]&amp;"の敵名(仮)"</f>
        <v>シブヤの敵名(仮)</v>
      </c>
      <c r="G15" s="8">
        <v>13</v>
      </c>
      <c r="H15" s="8">
        <v>-1</v>
      </c>
      <c r="I15" s="8">
        <v>-1</v>
      </c>
      <c r="J15" t="s">
        <v>13</v>
      </c>
      <c r="K15">
        <v>-1</v>
      </c>
      <c r="L15" s="2">
        <v>12</v>
      </c>
      <c r="M15" s="2">
        <v>11</v>
      </c>
      <c r="N15" t="s">
        <v>15</v>
      </c>
    </row>
    <row r="16" spans="1:14">
      <c r="A16" s="7">
        <f t="shared" si="0"/>
        <v>14</v>
      </c>
      <c r="B16" s="7"/>
      <c r="C16" s="9" t="s">
        <v>29</v>
      </c>
      <c r="D16" s="8" t="str">
        <f>テーブル3[[#This Row],[name]]&amp;"のエリア説明サメ！（仮）"</f>
        <v>ナカノのエリア説明サメ！（仮）</v>
      </c>
      <c r="E16" s="10" t="b">
        <v>0</v>
      </c>
      <c r="F16" s="6" t="str">
        <f>テーブル3[[#This Row],[name]]&amp;"の敵名(仮)"</f>
        <v>ナカノの敵名(仮)</v>
      </c>
      <c r="G16" s="1">
        <v>14</v>
      </c>
      <c r="H16" s="8">
        <v>-1</v>
      </c>
      <c r="I16" s="8">
        <v>-1</v>
      </c>
      <c r="J16" t="s">
        <v>13</v>
      </c>
      <c r="K16">
        <v>-1</v>
      </c>
      <c r="L16" s="2">
        <v>13</v>
      </c>
      <c r="M16" s="2">
        <v>12</v>
      </c>
      <c r="N16" t="s">
        <v>15</v>
      </c>
    </row>
    <row r="17" spans="1:14">
      <c r="A17" s="7">
        <f t="shared" si="0"/>
        <v>15</v>
      </c>
      <c r="B17" s="7"/>
      <c r="C17" s="9" t="s">
        <v>30</v>
      </c>
      <c r="D17" s="8" t="str">
        <f>テーブル3[[#This Row],[name]]&amp;"のエリア説明サメ！（仮）"</f>
        <v>スギナミのエリア説明サメ！（仮）</v>
      </c>
      <c r="E17" s="10" t="b">
        <v>0</v>
      </c>
      <c r="F17" s="6" t="str">
        <f>テーブル3[[#This Row],[name]]&amp;"の敵名(仮)"</f>
        <v>スギナミの敵名(仮)</v>
      </c>
      <c r="G17" s="8">
        <v>15</v>
      </c>
      <c r="H17" s="8">
        <v>-1</v>
      </c>
      <c r="I17" s="8">
        <v>-1</v>
      </c>
      <c r="J17" t="s">
        <v>13</v>
      </c>
      <c r="K17">
        <v>-1</v>
      </c>
      <c r="L17" s="2">
        <v>14</v>
      </c>
      <c r="M17" s="2">
        <v>13</v>
      </c>
      <c r="N17" t="s">
        <v>15</v>
      </c>
    </row>
    <row r="18" spans="1:14">
      <c r="A18" s="7">
        <f t="shared" si="0"/>
        <v>16</v>
      </c>
      <c r="B18" s="7"/>
      <c r="C18" s="9" t="s">
        <v>31</v>
      </c>
      <c r="D18" s="8" t="str">
        <f>テーブル3[[#This Row],[name]]&amp;"のエリア説明サメ！（仮）"</f>
        <v>トシマのエリア説明サメ！（仮）</v>
      </c>
      <c r="E18" s="10" t="b">
        <v>0</v>
      </c>
      <c r="F18" s="6" t="str">
        <f>テーブル3[[#This Row],[name]]&amp;"の敵名(仮)"</f>
        <v>トシマの敵名(仮)</v>
      </c>
      <c r="G18" s="1">
        <v>16</v>
      </c>
      <c r="H18" s="8">
        <v>-1</v>
      </c>
      <c r="I18" s="8">
        <v>-1</v>
      </c>
      <c r="J18" t="s">
        <v>13</v>
      </c>
      <c r="K18">
        <v>-1</v>
      </c>
      <c r="L18" s="2">
        <v>15</v>
      </c>
      <c r="M18" s="2">
        <v>14</v>
      </c>
      <c r="N18" t="s">
        <v>15</v>
      </c>
    </row>
    <row r="19" spans="1:14">
      <c r="A19" s="7">
        <f t="shared" si="0"/>
        <v>17</v>
      </c>
      <c r="B19" s="7"/>
      <c r="C19" s="9" t="s">
        <v>32</v>
      </c>
      <c r="D19" s="8" t="str">
        <f>テーブル3[[#This Row],[name]]&amp;"のエリア説明サメ！（仮）"</f>
        <v>キタのエリア説明サメ！（仮）</v>
      </c>
      <c r="E19" s="10" t="b">
        <v>0</v>
      </c>
      <c r="F19" s="6" t="str">
        <f>テーブル3[[#This Row],[name]]&amp;"の敵名(仮)"</f>
        <v>キタの敵名(仮)</v>
      </c>
      <c r="G19" s="8">
        <v>17</v>
      </c>
      <c r="H19" s="8">
        <v>-1</v>
      </c>
      <c r="I19" s="8">
        <v>-1</v>
      </c>
      <c r="J19" t="s">
        <v>13</v>
      </c>
      <c r="K19">
        <v>-1</v>
      </c>
      <c r="L19" s="2">
        <v>16</v>
      </c>
      <c r="M19" s="2">
        <v>15</v>
      </c>
      <c r="N19" t="s">
        <v>15</v>
      </c>
    </row>
    <row r="20" spans="1:14">
      <c r="A20" s="7">
        <f t="shared" si="0"/>
        <v>18</v>
      </c>
      <c r="B20" s="7"/>
      <c r="C20" s="9" t="s">
        <v>33</v>
      </c>
      <c r="D20" s="8" t="str">
        <f>テーブル3[[#This Row],[name]]&amp;"のエリア説明サメ！（仮）"</f>
        <v>アラカワのエリア説明サメ！（仮）</v>
      </c>
      <c r="E20" s="10" t="b">
        <v>0</v>
      </c>
      <c r="F20" s="6" t="str">
        <f>テーブル3[[#This Row],[name]]&amp;"の敵名(仮)"</f>
        <v>アラカワの敵名(仮)</v>
      </c>
      <c r="G20" s="1">
        <v>18</v>
      </c>
      <c r="H20" s="8">
        <v>-1</v>
      </c>
      <c r="I20" s="8">
        <v>-1</v>
      </c>
      <c r="J20" t="s">
        <v>13</v>
      </c>
      <c r="K20">
        <v>-1</v>
      </c>
      <c r="L20" s="2">
        <v>17</v>
      </c>
      <c r="M20" s="2">
        <v>16</v>
      </c>
      <c r="N20" t="s">
        <v>15</v>
      </c>
    </row>
    <row r="21" spans="1:14">
      <c r="A21" s="7">
        <f t="shared" si="0"/>
        <v>19</v>
      </c>
      <c r="B21" s="7"/>
      <c r="C21" s="9" t="s">
        <v>34</v>
      </c>
      <c r="D21" s="8" t="str">
        <f>テーブル3[[#This Row],[name]]&amp;"のエリア説明サメ！（仮）"</f>
        <v>イタバシのエリア説明サメ！（仮）</v>
      </c>
      <c r="E21" s="10" t="b">
        <v>0</v>
      </c>
      <c r="F21" s="6" t="str">
        <f>テーブル3[[#This Row],[name]]&amp;"の敵名(仮)"</f>
        <v>イタバシの敵名(仮)</v>
      </c>
      <c r="G21" s="8">
        <v>19</v>
      </c>
      <c r="H21" s="8">
        <v>-1</v>
      </c>
      <c r="I21" s="8">
        <v>-1</v>
      </c>
      <c r="J21" t="s">
        <v>13</v>
      </c>
      <c r="K21">
        <v>-1</v>
      </c>
      <c r="L21" s="2">
        <v>18</v>
      </c>
      <c r="M21" s="2">
        <v>17</v>
      </c>
      <c r="N21" t="s">
        <v>15</v>
      </c>
    </row>
    <row r="22" spans="1:14">
      <c r="A22" s="7">
        <f t="shared" si="0"/>
        <v>20</v>
      </c>
      <c r="B22" s="7"/>
      <c r="C22" s="9" t="s">
        <v>35</v>
      </c>
      <c r="D22" s="8" t="str">
        <f>テーブル3[[#This Row],[name]]&amp;"のエリア説明サメ！（仮）"</f>
        <v>ネリマのエリア説明サメ！（仮）</v>
      </c>
      <c r="E22" s="10" t="b">
        <v>0</v>
      </c>
      <c r="F22" s="6" t="str">
        <f>テーブル3[[#This Row],[name]]&amp;"の敵名(仮)"</f>
        <v>ネリマの敵名(仮)</v>
      </c>
      <c r="G22" s="1">
        <v>20</v>
      </c>
      <c r="H22" s="8">
        <v>-1</v>
      </c>
      <c r="I22" s="8">
        <v>-1</v>
      </c>
      <c r="J22" t="s">
        <v>13</v>
      </c>
      <c r="K22">
        <v>-1</v>
      </c>
      <c r="L22" s="2">
        <v>19</v>
      </c>
      <c r="M22" s="2">
        <v>18</v>
      </c>
      <c r="N22" t="s">
        <v>15</v>
      </c>
    </row>
    <row r="23" spans="1:14">
      <c r="A23" s="7">
        <f t="shared" si="0"/>
        <v>21</v>
      </c>
      <c r="B23" s="7"/>
      <c r="C23" s="9" t="s">
        <v>36</v>
      </c>
      <c r="D23" s="8" t="str">
        <f>テーブル3[[#This Row],[name]]&amp;"のエリア説明サメ！（仮）"</f>
        <v>アダチのエリア説明サメ！（仮）</v>
      </c>
      <c r="E23" s="10" t="b">
        <v>0</v>
      </c>
      <c r="F23" s="6" t="str">
        <f>テーブル3[[#This Row],[name]]&amp;"の敵名(仮)"</f>
        <v>アダチの敵名(仮)</v>
      </c>
      <c r="G23" s="8">
        <v>21</v>
      </c>
      <c r="H23" s="8">
        <v>-1</v>
      </c>
      <c r="I23" s="8">
        <v>-1</v>
      </c>
      <c r="J23" t="s">
        <v>13</v>
      </c>
      <c r="K23">
        <v>-1</v>
      </c>
      <c r="L23" s="2">
        <v>20</v>
      </c>
      <c r="M23" s="2">
        <v>19</v>
      </c>
      <c r="N23" t="s">
        <v>15</v>
      </c>
    </row>
    <row r="24" spans="1:14">
      <c r="A24" s="7">
        <f t="shared" si="0"/>
        <v>22</v>
      </c>
      <c r="B24" s="7"/>
      <c r="C24" s="9" t="s">
        <v>37</v>
      </c>
      <c r="D24" s="8" t="str">
        <f>テーブル3[[#This Row],[name]]&amp;"のエリア説明サメ！（仮）"</f>
        <v>カツシカのエリア説明サメ！（仮）</v>
      </c>
      <c r="E24" s="10" t="b">
        <v>0</v>
      </c>
      <c r="F24" s="6" t="str">
        <f>テーブル3[[#This Row],[name]]&amp;"の敵名(仮)"</f>
        <v>カツシカの敵名(仮)</v>
      </c>
      <c r="G24" s="1">
        <v>22</v>
      </c>
      <c r="H24" s="8">
        <v>-1</v>
      </c>
      <c r="I24" s="8">
        <v>-1</v>
      </c>
      <c r="J24" t="s">
        <v>13</v>
      </c>
      <c r="K24">
        <v>-1</v>
      </c>
      <c r="L24" s="2">
        <v>21</v>
      </c>
      <c r="M24" s="2">
        <v>20</v>
      </c>
      <c r="N24" t="s">
        <v>15</v>
      </c>
    </row>
    <row r="25" spans="1:14">
      <c r="A25" s="7">
        <f t="shared" si="0"/>
        <v>23</v>
      </c>
      <c r="B25" s="7"/>
      <c r="C25" s="9" t="s">
        <v>38</v>
      </c>
      <c r="D25" s="8" t="str">
        <f>テーブル3[[#This Row],[name]]&amp;"のエリア説明サメ！（仮）"</f>
        <v>エドガワのエリア説明サメ！（仮）</v>
      </c>
      <c r="E25" s="10" t="b">
        <v>0</v>
      </c>
      <c r="F25" s="6" t="str">
        <f>テーブル3[[#This Row],[name]]&amp;"の敵名(仮)"</f>
        <v>エドガワの敵名(仮)</v>
      </c>
      <c r="G25" s="8">
        <v>23</v>
      </c>
      <c r="H25" s="8">
        <v>-1</v>
      </c>
      <c r="I25" s="8">
        <v>-1</v>
      </c>
      <c r="J25" t="s">
        <v>13</v>
      </c>
      <c r="K25">
        <v>-1</v>
      </c>
      <c r="L25" s="2">
        <v>22</v>
      </c>
      <c r="M25" s="2">
        <v>21</v>
      </c>
      <c r="N25" t="s">
        <v>15</v>
      </c>
    </row>
    <row r="26" spans="1:14">
      <c r="A26" s="7">
        <f t="shared" si="0"/>
        <v>24</v>
      </c>
      <c r="B26" s="7"/>
      <c r="C26" s="9" t="s">
        <v>39</v>
      </c>
      <c r="D26" s="8" t="str">
        <f>テーブル3[[#This Row],[name]]&amp;"のエリア説明サメ！（仮）"</f>
        <v>ハチオージのエリア説明サメ！（仮）</v>
      </c>
      <c r="E26" s="10" t="b">
        <v>0</v>
      </c>
      <c r="F26" s="6" t="str">
        <f>テーブル3[[#This Row],[name]]&amp;"の敵名(仮)"</f>
        <v>ハチオージの敵名(仮)</v>
      </c>
      <c r="G26" s="1">
        <v>24</v>
      </c>
      <c r="H26" s="8">
        <v>-1</v>
      </c>
      <c r="I26" s="8">
        <v>-1</v>
      </c>
      <c r="J26" t="s">
        <v>13</v>
      </c>
      <c r="K26">
        <v>-1</v>
      </c>
      <c r="L26" s="2">
        <v>23</v>
      </c>
      <c r="M26" s="2">
        <v>22</v>
      </c>
      <c r="N26" t="s">
        <v>15</v>
      </c>
    </row>
    <row r="27" spans="1:14">
      <c r="A27" s="7">
        <f t="shared" si="0"/>
        <v>25</v>
      </c>
      <c r="B27" s="7"/>
      <c r="C27" s="9" t="s">
        <v>40</v>
      </c>
      <c r="D27" s="8" t="str">
        <f>テーブル3[[#This Row],[name]]&amp;"のエリア説明サメ！（仮）"</f>
        <v>タチカワのエリア説明サメ！（仮）</v>
      </c>
      <c r="E27" s="10" t="b">
        <v>0</v>
      </c>
      <c r="F27" s="6" t="str">
        <f>テーブル3[[#This Row],[name]]&amp;"の敵名(仮)"</f>
        <v>タチカワの敵名(仮)</v>
      </c>
      <c r="G27" s="8">
        <v>25</v>
      </c>
      <c r="H27" s="8">
        <v>-1</v>
      </c>
      <c r="I27" s="8">
        <v>-1</v>
      </c>
      <c r="J27" t="s">
        <v>13</v>
      </c>
      <c r="K27">
        <v>-1</v>
      </c>
      <c r="L27" s="2">
        <v>24</v>
      </c>
      <c r="M27" s="2">
        <v>23</v>
      </c>
      <c r="N27" t="s">
        <v>15</v>
      </c>
    </row>
    <row r="28" spans="1:14">
      <c r="A28" s="7">
        <f t="shared" si="0"/>
        <v>26</v>
      </c>
      <c r="B28" s="7"/>
      <c r="C28" s="9" t="s">
        <v>41</v>
      </c>
      <c r="D28" s="8" t="str">
        <f>テーブル3[[#This Row],[name]]&amp;"のエリア説明サメ！（仮）"</f>
        <v>ムサシノのエリア説明サメ！（仮）</v>
      </c>
      <c r="E28" s="10" t="b">
        <v>0</v>
      </c>
      <c r="F28" s="6" t="str">
        <f>テーブル3[[#This Row],[name]]&amp;"の敵名(仮)"</f>
        <v>ムサシノの敵名(仮)</v>
      </c>
      <c r="G28" s="1">
        <v>26</v>
      </c>
      <c r="H28" s="8">
        <v>-1</v>
      </c>
      <c r="I28" s="8">
        <v>-1</v>
      </c>
      <c r="J28" t="s">
        <v>13</v>
      </c>
      <c r="K28">
        <v>-1</v>
      </c>
      <c r="L28" s="2">
        <v>25</v>
      </c>
      <c r="M28" s="2">
        <v>24</v>
      </c>
      <c r="N28" t="s">
        <v>15</v>
      </c>
    </row>
    <row r="29" spans="1:14">
      <c r="A29" s="7">
        <f t="shared" si="0"/>
        <v>27</v>
      </c>
      <c r="B29" s="7"/>
      <c r="C29" s="9" t="s">
        <v>42</v>
      </c>
      <c r="D29" s="8" t="str">
        <f>テーブル3[[#This Row],[name]]&amp;"のエリア説明サメ！（仮）"</f>
        <v>ミタカのエリア説明サメ！（仮）</v>
      </c>
      <c r="E29" s="10" t="b">
        <v>0</v>
      </c>
      <c r="F29" s="6" t="str">
        <f>テーブル3[[#This Row],[name]]&amp;"の敵名(仮)"</f>
        <v>ミタカの敵名(仮)</v>
      </c>
      <c r="G29" s="8">
        <v>27</v>
      </c>
      <c r="H29" s="8">
        <v>-1</v>
      </c>
      <c r="I29" s="8">
        <v>-1</v>
      </c>
      <c r="J29" t="s">
        <v>13</v>
      </c>
      <c r="K29">
        <v>-1</v>
      </c>
      <c r="L29" s="2">
        <v>26</v>
      </c>
      <c r="M29" s="2">
        <v>25</v>
      </c>
      <c r="N29" t="s">
        <v>15</v>
      </c>
    </row>
    <row r="30" spans="1:14">
      <c r="A30" s="7">
        <f t="shared" si="0"/>
        <v>28</v>
      </c>
      <c r="B30" s="7"/>
      <c r="C30" s="9" t="s">
        <v>43</v>
      </c>
      <c r="D30" s="8" t="str">
        <f>テーブル3[[#This Row],[name]]&amp;"のエリア説明サメ！（仮）"</f>
        <v>オウメのエリア説明サメ！（仮）</v>
      </c>
      <c r="E30" s="10" t="b">
        <v>0</v>
      </c>
      <c r="F30" s="6" t="str">
        <f>テーブル3[[#This Row],[name]]&amp;"の敵名(仮)"</f>
        <v>オウメの敵名(仮)</v>
      </c>
      <c r="G30" s="1">
        <v>28</v>
      </c>
      <c r="H30" s="8">
        <v>-1</v>
      </c>
      <c r="I30" s="8">
        <v>-1</v>
      </c>
      <c r="J30" t="s">
        <v>13</v>
      </c>
      <c r="K30">
        <v>-1</v>
      </c>
      <c r="L30" s="2">
        <v>27</v>
      </c>
      <c r="M30" s="2">
        <v>26</v>
      </c>
      <c r="N30" t="s">
        <v>15</v>
      </c>
    </row>
    <row r="31" spans="1:14">
      <c r="A31" s="7">
        <f t="shared" si="0"/>
        <v>29</v>
      </c>
      <c r="B31" s="7"/>
      <c r="C31" s="9" t="s">
        <v>44</v>
      </c>
      <c r="D31" s="8" t="str">
        <f>テーブル3[[#This Row],[name]]&amp;"のエリア説明サメ！（仮）"</f>
        <v>フチューのエリア説明サメ！（仮）</v>
      </c>
      <c r="E31" s="10" t="b">
        <v>0</v>
      </c>
      <c r="F31" s="6" t="str">
        <f>テーブル3[[#This Row],[name]]&amp;"の敵名(仮)"</f>
        <v>フチューの敵名(仮)</v>
      </c>
      <c r="G31" s="8">
        <v>29</v>
      </c>
      <c r="H31" s="8">
        <v>-1</v>
      </c>
      <c r="I31" s="8">
        <v>-1</v>
      </c>
      <c r="J31" t="s">
        <v>13</v>
      </c>
      <c r="K31">
        <v>-1</v>
      </c>
      <c r="L31" s="2">
        <v>28</v>
      </c>
      <c r="M31" s="2">
        <v>27</v>
      </c>
      <c r="N31" t="s">
        <v>15</v>
      </c>
    </row>
    <row r="32" spans="1:14">
      <c r="A32" s="7">
        <f t="shared" si="0"/>
        <v>30</v>
      </c>
      <c r="B32" s="7"/>
      <c r="C32" s="9" t="s">
        <v>45</v>
      </c>
      <c r="D32" s="8" t="str">
        <f>テーブル3[[#This Row],[name]]&amp;"のエリア説明サメ！（仮）"</f>
        <v>アキシマのエリア説明サメ！（仮）</v>
      </c>
      <c r="E32" s="10" t="b">
        <v>0</v>
      </c>
      <c r="F32" s="6" t="str">
        <f>テーブル3[[#This Row],[name]]&amp;"の敵名(仮)"</f>
        <v>アキシマの敵名(仮)</v>
      </c>
      <c r="G32" s="1">
        <v>30</v>
      </c>
      <c r="H32" s="8">
        <v>-1</v>
      </c>
      <c r="I32" s="8">
        <v>-1</v>
      </c>
      <c r="J32" t="s">
        <v>13</v>
      </c>
      <c r="K32">
        <v>-1</v>
      </c>
      <c r="L32" s="2">
        <v>29</v>
      </c>
      <c r="M32" s="2">
        <v>28</v>
      </c>
      <c r="N32" t="s">
        <v>15</v>
      </c>
    </row>
    <row r="33" spans="1:14">
      <c r="A33" s="7">
        <f t="shared" si="0"/>
        <v>31</v>
      </c>
      <c r="B33" s="7"/>
      <c r="C33" s="9" t="s">
        <v>46</v>
      </c>
      <c r="D33" s="8" t="str">
        <f>テーブル3[[#This Row],[name]]&amp;"のエリア説明サメ！（仮）"</f>
        <v>チョーフのエリア説明サメ！（仮）</v>
      </c>
      <c r="E33" s="10" t="b">
        <v>0</v>
      </c>
      <c r="F33" s="6" t="str">
        <f>テーブル3[[#This Row],[name]]&amp;"の敵名(仮)"</f>
        <v>チョーフの敵名(仮)</v>
      </c>
      <c r="G33" s="8">
        <v>31</v>
      </c>
      <c r="H33" s="8">
        <v>-1</v>
      </c>
      <c r="I33" s="8">
        <v>-1</v>
      </c>
      <c r="J33" t="s">
        <v>13</v>
      </c>
      <c r="K33">
        <v>-1</v>
      </c>
      <c r="L33" s="2">
        <v>30</v>
      </c>
      <c r="M33" s="2">
        <v>29</v>
      </c>
      <c r="N33" t="s">
        <v>15</v>
      </c>
    </row>
    <row r="34" spans="1:14">
      <c r="A34" s="7">
        <f t="shared" si="0"/>
        <v>32</v>
      </c>
      <c r="B34" s="7"/>
      <c r="C34" s="9" t="s">
        <v>47</v>
      </c>
      <c r="D34" s="8" t="str">
        <f>テーブル3[[#This Row],[name]]&amp;"のエリア説明サメ！（仮）"</f>
        <v>マチダのエリア説明サメ！（仮）</v>
      </c>
      <c r="E34" s="10" t="b">
        <v>0</v>
      </c>
      <c r="F34" s="6" t="str">
        <f>テーブル3[[#This Row],[name]]&amp;"の敵名(仮)"</f>
        <v>マチダの敵名(仮)</v>
      </c>
      <c r="G34" s="1">
        <v>32</v>
      </c>
      <c r="H34" s="8">
        <v>-1</v>
      </c>
      <c r="I34" s="8">
        <v>-1</v>
      </c>
      <c r="J34" t="s">
        <v>13</v>
      </c>
      <c r="K34">
        <v>-1</v>
      </c>
      <c r="L34" s="2">
        <v>31</v>
      </c>
      <c r="M34" s="2">
        <v>30</v>
      </c>
      <c r="N34" t="s">
        <v>15</v>
      </c>
    </row>
    <row r="35" spans="1:14">
      <c r="A35" s="7">
        <f t="shared" si="0"/>
        <v>33</v>
      </c>
      <c r="B35" s="7"/>
      <c r="C35" s="9" t="s">
        <v>48</v>
      </c>
      <c r="D35" s="8" t="str">
        <f>テーブル3[[#This Row],[name]]&amp;"のエリア説明サメ！（仮）"</f>
        <v>コガネイのエリア説明サメ！（仮）</v>
      </c>
      <c r="E35" s="10" t="b">
        <v>0</v>
      </c>
      <c r="F35" s="6" t="str">
        <f>テーブル3[[#This Row],[name]]&amp;"の敵名(仮)"</f>
        <v>コガネイの敵名(仮)</v>
      </c>
      <c r="G35" s="8">
        <v>33</v>
      </c>
      <c r="H35" s="8">
        <v>-1</v>
      </c>
      <c r="I35" s="8">
        <v>-1</v>
      </c>
      <c r="J35" t="s">
        <v>13</v>
      </c>
      <c r="K35">
        <v>-1</v>
      </c>
      <c r="L35" s="2">
        <v>32</v>
      </c>
      <c r="M35" s="2">
        <v>31</v>
      </c>
      <c r="N35" t="s">
        <v>15</v>
      </c>
    </row>
    <row r="36" spans="1:14">
      <c r="A36" s="7">
        <f t="shared" ref="A36:A64" si="1">ROW()-2</f>
        <v>34</v>
      </c>
      <c r="B36" s="7"/>
      <c r="C36" s="9" t="s">
        <v>49</v>
      </c>
      <c r="D36" s="8" t="str">
        <f>テーブル3[[#This Row],[name]]&amp;"のエリア説明サメ！（仮）"</f>
        <v>コダイラのエリア説明サメ！（仮）</v>
      </c>
      <c r="E36" s="10" t="b">
        <v>0</v>
      </c>
      <c r="F36" s="6" t="str">
        <f>テーブル3[[#This Row],[name]]&amp;"の敵名(仮)"</f>
        <v>コダイラの敵名(仮)</v>
      </c>
      <c r="G36" s="1">
        <v>34</v>
      </c>
      <c r="H36" s="8">
        <v>-1</v>
      </c>
      <c r="I36" s="8">
        <v>-1</v>
      </c>
      <c r="J36" t="s">
        <v>13</v>
      </c>
      <c r="K36">
        <v>-1</v>
      </c>
      <c r="L36" s="2">
        <v>33</v>
      </c>
      <c r="M36" s="2">
        <v>32</v>
      </c>
      <c r="N36" t="s">
        <v>15</v>
      </c>
    </row>
    <row r="37" spans="1:14">
      <c r="A37" s="7">
        <f t="shared" si="1"/>
        <v>35</v>
      </c>
      <c r="B37" s="7"/>
      <c r="C37" s="9" t="s">
        <v>50</v>
      </c>
      <c r="D37" s="8" t="str">
        <f>テーブル3[[#This Row],[name]]&amp;"のエリア説明サメ！（仮）"</f>
        <v>ヒノのエリア説明サメ！（仮）</v>
      </c>
      <c r="E37" s="10" t="b">
        <v>0</v>
      </c>
      <c r="F37" s="6" t="str">
        <f>テーブル3[[#This Row],[name]]&amp;"の敵名(仮)"</f>
        <v>ヒノの敵名(仮)</v>
      </c>
      <c r="G37" s="8">
        <v>35</v>
      </c>
      <c r="H37" s="8">
        <v>-1</v>
      </c>
      <c r="I37" s="8">
        <v>-1</v>
      </c>
      <c r="J37" t="s">
        <v>13</v>
      </c>
      <c r="K37">
        <v>-1</v>
      </c>
      <c r="L37" s="2">
        <v>34</v>
      </c>
      <c r="M37" s="2">
        <v>33</v>
      </c>
      <c r="N37" t="s">
        <v>15</v>
      </c>
    </row>
    <row r="38" spans="1:14">
      <c r="A38" s="7">
        <f t="shared" si="1"/>
        <v>36</v>
      </c>
      <c r="B38" s="7"/>
      <c r="C38" s="9" t="s">
        <v>76</v>
      </c>
      <c r="D38" s="8" t="str">
        <f>テーブル3[[#This Row],[name]]&amp;"のエリア説明サメ！（仮）"</f>
        <v>ヒガシヤマのエリア説明サメ！（仮）</v>
      </c>
      <c r="E38" s="10" t="b">
        <v>0</v>
      </c>
      <c r="F38" s="6" t="str">
        <f>テーブル3[[#This Row],[name]]&amp;"の敵名(仮)"</f>
        <v>ヒガシヤマの敵名(仮)</v>
      </c>
      <c r="G38" s="1">
        <v>36</v>
      </c>
      <c r="H38" s="8">
        <v>-1</v>
      </c>
      <c r="I38" s="8">
        <v>-1</v>
      </c>
      <c r="J38" t="s">
        <v>13</v>
      </c>
      <c r="K38">
        <v>-1</v>
      </c>
      <c r="L38" s="2">
        <v>35</v>
      </c>
      <c r="M38" s="2">
        <v>34</v>
      </c>
      <c r="N38" t="s">
        <v>15</v>
      </c>
    </row>
    <row r="39" spans="1:14">
      <c r="A39" s="7">
        <f t="shared" si="1"/>
        <v>37</v>
      </c>
      <c r="B39" s="7"/>
      <c r="C39" s="9" t="s">
        <v>51</v>
      </c>
      <c r="D39" s="8" t="str">
        <f>テーブル3[[#This Row],[name]]&amp;"のエリア説明サメ！（仮）"</f>
        <v>コクブンジのエリア説明サメ！（仮）</v>
      </c>
      <c r="E39" s="10" t="b">
        <v>0</v>
      </c>
      <c r="F39" s="6" t="str">
        <f>テーブル3[[#This Row],[name]]&amp;"の敵名(仮)"</f>
        <v>コクブンジの敵名(仮)</v>
      </c>
      <c r="G39" s="8">
        <v>37</v>
      </c>
      <c r="H39" s="8">
        <v>-1</v>
      </c>
      <c r="I39" s="8">
        <v>-1</v>
      </c>
      <c r="J39" t="s">
        <v>13</v>
      </c>
      <c r="K39">
        <v>-1</v>
      </c>
      <c r="L39" s="2">
        <v>36</v>
      </c>
      <c r="M39" s="2">
        <v>35</v>
      </c>
      <c r="N39" t="s">
        <v>15</v>
      </c>
    </row>
    <row r="40" spans="1:14">
      <c r="A40" s="7">
        <f t="shared" si="1"/>
        <v>38</v>
      </c>
      <c r="B40" s="7"/>
      <c r="C40" s="9" t="s">
        <v>52</v>
      </c>
      <c r="D40" s="8" t="str">
        <f>テーブル3[[#This Row],[name]]&amp;"のエリア説明サメ！（仮）"</f>
        <v>クニタチのエリア説明サメ！（仮）</v>
      </c>
      <c r="E40" s="10" t="b">
        <v>0</v>
      </c>
      <c r="F40" s="6" t="str">
        <f>テーブル3[[#This Row],[name]]&amp;"の敵名(仮)"</f>
        <v>クニタチの敵名(仮)</v>
      </c>
      <c r="G40" s="1">
        <v>38</v>
      </c>
      <c r="H40" s="8">
        <v>-1</v>
      </c>
      <c r="I40" s="8">
        <v>-1</v>
      </c>
      <c r="J40" t="s">
        <v>13</v>
      </c>
      <c r="K40">
        <v>-1</v>
      </c>
      <c r="L40" s="2">
        <v>37</v>
      </c>
      <c r="M40" s="2">
        <v>36</v>
      </c>
      <c r="N40" t="s">
        <v>15</v>
      </c>
    </row>
    <row r="41" spans="1:14">
      <c r="A41" s="7">
        <f t="shared" si="1"/>
        <v>39</v>
      </c>
      <c r="B41" s="7"/>
      <c r="C41" s="9" t="s">
        <v>53</v>
      </c>
      <c r="D41" s="8" t="str">
        <f>テーブル3[[#This Row],[name]]&amp;"のエリア説明サメ！（仮）"</f>
        <v>フッサのエリア説明サメ！（仮）</v>
      </c>
      <c r="E41" s="10" t="b">
        <v>0</v>
      </c>
      <c r="F41" s="6" t="str">
        <f>テーブル3[[#This Row],[name]]&amp;"の敵名(仮)"</f>
        <v>フッサの敵名(仮)</v>
      </c>
      <c r="G41" s="8">
        <v>39</v>
      </c>
      <c r="H41" s="8">
        <v>-1</v>
      </c>
      <c r="I41" s="8">
        <v>-1</v>
      </c>
      <c r="J41" t="s">
        <v>13</v>
      </c>
      <c r="K41">
        <v>-1</v>
      </c>
      <c r="L41" s="2">
        <v>38</v>
      </c>
      <c r="M41" s="2">
        <v>37</v>
      </c>
      <c r="N41" t="s">
        <v>15</v>
      </c>
    </row>
    <row r="42" spans="1:14">
      <c r="A42" s="7">
        <f t="shared" si="1"/>
        <v>40</v>
      </c>
      <c r="B42" s="7"/>
      <c r="C42" s="9" t="s">
        <v>54</v>
      </c>
      <c r="D42" s="8" t="str">
        <f>テーブル3[[#This Row],[name]]&amp;"のエリア説明サメ！（仮）"</f>
        <v>コマエのエリア説明サメ！（仮）</v>
      </c>
      <c r="E42" s="10" t="b">
        <v>0</v>
      </c>
      <c r="F42" s="6" t="str">
        <f>テーブル3[[#This Row],[name]]&amp;"の敵名(仮)"</f>
        <v>コマエの敵名(仮)</v>
      </c>
      <c r="G42" s="1">
        <v>40</v>
      </c>
      <c r="H42" s="8">
        <v>-1</v>
      </c>
      <c r="I42" s="8">
        <v>-1</v>
      </c>
      <c r="J42" t="s">
        <v>13</v>
      </c>
      <c r="K42">
        <v>-1</v>
      </c>
      <c r="L42" s="2">
        <v>39</v>
      </c>
      <c r="M42" s="2">
        <v>38</v>
      </c>
      <c r="N42" t="s">
        <v>15</v>
      </c>
    </row>
    <row r="43" spans="1:14">
      <c r="A43" s="7">
        <f t="shared" si="1"/>
        <v>41</v>
      </c>
      <c r="B43" s="7"/>
      <c r="C43" s="9" t="s">
        <v>75</v>
      </c>
      <c r="D43" s="8" t="str">
        <f>テーブル3[[#This Row],[name]]&amp;"のエリア説明サメ！（仮）"</f>
        <v>ヒガシマトのエリア説明サメ！（仮）</v>
      </c>
      <c r="E43" s="10" t="b">
        <v>0</v>
      </c>
      <c r="F43" s="6" t="str">
        <f>テーブル3[[#This Row],[name]]&amp;"の敵名(仮)"</f>
        <v>ヒガシマトの敵名(仮)</v>
      </c>
      <c r="G43" s="8">
        <v>41</v>
      </c>
      <c r="H43" s="8">
        <v>-1</v>
      </c>
      <c r="I43" s="8">
        <v>-1</v>
      </c>
      <c r="J43" t="s">
        <v>13</v>
      </c>
      <c r="K43">
        <v>-1</v>
      </c>
      <c r="L43" s="2">
        <v>40</v>
      </c>
      <c r="M43" s="2">
        <v>39</v>
      </c>
      <c r="N43" t="s">
        <v>15</v>
      </c>
    </row>
    <row r="44" spans="1:14">
      <c r="A44" s="7">
        <f t="shared" si="1"/>
        <v>42</v>
      </c>
      <c r="B44" s="7"/>
      <c r="C44" s="9" t="s">
        <v>55</v>
      </c>
      <c r="D44" s="8" t="str">
        <f>テーブル3[[#This Row],[name]]&amp;"のエリア説明サメ！（仮）"</f>
        <v>キヨセのエリア説明サメ！（仮）</v>
      </c>
      <c r="E44" s="10" t="b">
        <v>0</v>
      </c>
      <c r="F44" s="6" t="str">
        <f>テーブル3[[#This Row],[name]]&amp;"の敵名(仮)"</f>
        <v>キヨセの敵名(仮)</v>
      </c>
      <c r="G44" s="1">
        <v>42</v>
      </c>
      <c r="H44" s="8">
        <v>-1</v>
      </c>
      <c r="I44" s="8">
        <v>-1</v>
      </c>
      <c r="J44" t="s">
        <v>13</v>
      </c>
      <c r="K44">
        <v>-1</v>
      </c>
      <c r="L44" s="2">
        <v>41</v>
      </c>
      <c r="M44" s="2">
        <v>40</v>
      </c>
      <c r="N44" t="s">
        <v>15</v>
      </c>
    </row>
    <row r="45" spans="1:14">
      <c r="A45" s="7">
        <f t="shared" si="1"/>
        <v>43</v>
      </c>
      <c r="B45" s="7"/>
      <c r="C45" s="9" t="s">
        <v>74</v>
      </c>
      <c r="D45" s="8" t="str">
        <f>テーブル3[[#This Row],[name]]&amp;"のエリア説明サメ！（仮）"</f>
        <v>ヒガシクルのエリア説明サメ！（仮）</v>
      </c>
      <c r="E45" s="10" t="b">
        <v>0</v>
      </c>
      <c r="F45" s="6" t="str">
        <f>テーブル3[[#This Row],[name]]&amp;"の敵名(仮)"</f>
        <v>ヒガシクルの敵名(仮)</v>
      </c>
      <c r="G45" s="8">
        <v>43</v>
      </c>
      <c r="H45" s="8">
        <v>-1</v>
      </c>
      <c r="I45" s="8">
        <v>-1</v>
      </c>
      <c r="J45" t="s">
        <v>13</v>
      </c>
      <c r="K45">
        <v>-1</v>
      </c>
      <c r="L45" s="2">
        <v>42</v>
      </c>
      <c r="M45" s="2">
        <v>41</v>
      </c>
      <c r="N45" t="s">
        <v>15</v>
      </c>
    </row>
    <row r="46" spans="1:14">
      <c r="A46" s="7">
        <f t="shared" si="1"/>
        <v>44</v>
      </c>
      <c r="B46" s="7"/>
      <c r="C46" s="9" t="s">
        <v>73</v>
      </c>
      <c r="D46" s="8" t="str">
        <f>テーブル3[[#This Row],[name]]&amp;"のエリア説明サメ！（仮）"</f>
        <v>ムサシムのエリア説明サメ！（仮）</v>
      </c>
      <c r="E46" s="10" t="b">
        <v>0</v>
      </c>
      <c r="F46" s="6" t="str">
        <f>テーブル3[[#This Row],[name]]&amp;"の敵名(仮)"</f>
        <v>ムサシムの敵名(仮)</v>
      </c>
      <c r="G46" s="1">
        <v>44</v>
      </c>
      <c r="H46" s="8">
        <v>-1</v>
      </c>
      <c r="I46" s="8">
        <v>-1</v>
      </c>
      <c r="J46" t="s">
        <v>13</v>
      </c>
      <c r="K46">
        <v>-1</v>
      </c>
      <c r="L46" s="2">
        <v>43</v>
      </c>
      <c r="M46" s="2">
        <v>42</v>
      </c>
      <c r="N46" t="s">
        <v>15</v>
      </c>
    </row>
    <row r="47" spans="1:14">
      <c r="A47" s="7">
        <f t="shared" si="1"/>
        <v>45</v>
      </c>
      <c r="B47" s="7"/>
      <c r="C47" s="9" t="s">
        <v>56</v>
      </c>
      <c r="D47" s="8" t="str">
        <f>テーブル3[[#This Row],[name]]&amp;"のエリア説明サメ！（仮）"</f>
        <v>タマのエリア説明サメ！（仮）</v>
      </c>
      <c r="E47" s="10" t="b">
        <v>0</v>
      </c>
      <c r="F47" s="6" t="str">
        <f>テーブル3[[#This Row],[name]]&amp;"の敵名(仮)"</f>
        <v>タマの敵名(仮)</v>
      </c>
      <c r="G47" s="8">
        <v>45</v>
      </c>
      <c r="H47" s="8">
        <v>-1</v>
      </c>
      <c r="I47" s="8">
        <v>-1</v>
      </c>
      <c r="J47" t="s">
        <v>13</v>
      </c>
      <c r="K47">
        <v>-1</v>
      </c>
      <c r="L47" s="2">
        <v>44</v>
      </c>
      <c r="M47" s="2">
        <v>43</v>
      </c>
      <c r="N47" t="s">
        <v>15</v>
      </c>
    </row>
    <row r="48" spans="1:14">
      <c r="A48" s="7">
        <f t="shared" si="1"/>
        <v>46</v>
      </c>
      <c r="B48" s="7"/>
      <c r="C48" s="9" t="s">
        <v>57</v>
      </c>
      <c r="D48" s="8" t="str">
        <f>テーブル3[[#This Row],[name]]&amp;"のエリア説明サメ！（仮）"</f>
        <v>イナギのエリア説明サメ！（仮）</v>
      </c>
      <c r="E48" s="10" t="b">
        <v>0</v>
      </c>
      <c r="F48" s="6" t="str">
        <f>テーブル3[[#This Row],[name]]&amp;"の敵名(仮)"</f>
        <v>イナギの敵名(仮)</v>
      </c>
      <c r="G48" s="1">
        <v>46</v>
      </c>
      <c r="H48" s="8">
        <v>-1</v>
      </c>
      <c r="I48" s="8">
        <v>-1</v>
      </c>
      <c r="J48" t="s">
        <v>13</v>
      </c>
      <c r="K48">
        <v>-1</v>
      </c>
      <c r="L48" s="2">
        <v>45</v>
      </c>
      <c r="M48" s="2">
        <v>44</v>
      </c>
      <c r="N48" t="s">
        <v>15</v>
      </c>
    </row>
    <row r="49" spans="1:14">
      <c r="A49" s="7">
        <f t="shared" si="1"/>
        <v>47</v>
      </c>
      <c r="B49" s="7"/>
      <c r="C49" s="9" t="s">
        <v>58</v>
      </c>
      <c r="D49" s="8" t="str">
        <f>テーブル3[[#This Row],[name]]&amp;"のエリア説明サメ！（仮）"</f>
        <v>ハムラのエリア説明サメ！（仮）</v>
      </c>
      <c r="E49" s="10" t="b">
        <v>0</v>
      </c>
      <c r="F49" s="6" t="str">
        <f>テーブル3[[#This Row],[name]]&amp;"の敵名(仮)"</f>
        <v>ハムラの敵名(仮)</v>
      </c>
      <c r="G49" s="8">
        <v>47</v>
      </c>
      <c r="H49" s="8">
        <v>-1</v>
      </c>
      <c r="I49" s="8">
        <v>-1</v>
      </c>
      <c r="J49" t="s">
        <v>13</v>
      </c>
      <c r="K49">
        <v>-1</v>
      </c>
      <c r="L49" s="2">
        <v>46</v>
      </c>
      <c r="M49" s="2">
        <v>45</v>
      </c>
      <c r="N49" t="s">
        <v>15</v>
      </c>
    </row>
    <row r="50" spans="1:14">
      <c r="A50" s="7">
        <f t="shared" si="1"/>
        <v>48</v>
      </c>
      <c r="B50" s="7"/>
      <c r="C50" s="9" t="s">
        <v>59</v>
      </c>
      <c r="D50" s="8" t="str">
        <f>テーブル3[[#This Row],[name]]&amp;"のエリア説明サメ！（仮）"</f>
        <v>アキルノのエリア説明サメ！（仮）</v>
      </c>
      <c r="E50" s="10" t="b">
        <v>0</v>
      </c>
      <c r="F50" s="6" t="str">
        <f>テーブル3[[#This Row],[name]]&amp;"の敵名(仮)"</f>
        <v>アキルノの敵名(仮)</v>
      </c>
      <c r="G50" s="1">
        <v>48</v>
      </c>
      <c r="H50" s="8">
        <v>-1</v>
      </c>
      <c r="I50" s="8">
        <v>-1</v>
      </c>
      <c r="J50" t="s">
        <v>13</v>
      </c>
      <c r="K50">
        <v>-1</v>
      </c>
      <c r="L50" s="2">
        <v>47</v>
      </c>
      <c r="M50" s="2">
        <v>46</v>
      </c>
      <c r="N50" t="s">
        <v>15</v>
      </c>
    </row>
    <row r="51" spans="1:14" ht="16.5" customHeight="1">
      <c r="A51" s="7">
        <f t="shared" si="1"/>
        <v>49</v>
      </c>
      <c r="B51" s="7"/>
      <c r="C51" s="9" t="s">
        <v>60</v>
      </c>
      <c r="D51" s="8" t="str">
        <f>テーブル3[[#This Row],[name]]&amp;"のエリア説明サメ！（仮）"</f>
        <v>ニシトーキョーのエリア説明サメ！（仮）</v>
      </c>
      <c r="E51" s="10" t="b">
        <v>0</v>
      </c>
      <c r="F51" s="6" t="str">
        <f>テーブル3[[#This Row],[name]]&amp;"の敵名(仮)"</f>
        <v>ニシトーキョーの敵名(仮)</v>
      </c>
      <c r="G51" s="8">
        <v>49</v>
      </c>
      <c r="H51" s="8">
        <v>-1</v>
      </c>
      <c r="I51" s="8">
        <v>-1</v>
      </c>
      <c r="J51" t="s">
        <v>12</v>
      </c>
      <c r="K51">
        <v>-1</v>
      </c>
      <c r="L51" s="2">
        <v>48</v>
      </c>
      <c r="M51" s="2">
        <v>47</v>
      </c>
      <c r="N51" t="s">
        <v>15</v>
      </c>
    </row>
    <row r="52" spans="1:14">
      <c r="A52" s="7">
        <f t="shared" si="1"/>
        <v>50</v>
      </c>
      <c r="B52" s="7"/>
      <c r="C52" s="9" t="s">
        <v>61</v>
      </c>
      <c r="D52" s="8" t="str">
        <f>テーブル3[[#This Row],[name]]&amp;"のエリア説明サメ！（仮）"</f>
        <v>ミズホのエリア説明サメ！（仮）</v>
      </c>
      <c r="E52" s="10" t="b">
        <v>0</v>
      </c>
      <c r="F52" s="6" t="str">
        <f>テーブル3[[#This Row],[name]]&amp;"の敵名(仮)"</f>
        <v>ミズホの敵名(仮)</v>
      </c>
      <c r="G52" s="1">
        <v>50</v>
      </c>
      <c r="H52" s="8">
        <v>-1</v>
      </c>
      <c r="I52" s="8">
        <v>-1</v>
      </c>
      <c r="J52" t="s">
        <v>13</v>
      </c>
      <c r="K52">
        <v>-1</v>
      </c>
      <c r="L52" s="2">
        <v>49</v>
      </c>
      <c r="M52" s="2">
        <v>48</v>
      </c>
      <c r="N52" t="s">
        <v>15</v>
      </c>
    </row>
    <row r="53" spans="1:14">
      <c r="A53" s="7">
        <f t="shared" si="1"/>
        <v>51</v>
      </c>
      <c r="B53" s="7"/>
      <c r="C53" s="9" t="s">
        <v>62</v>
      </c>
      <c r="D53" s="8" t="str">
        <f>テーブル3[[#This Row],[name]]&amp;"のエリア説明サメ！（仮）"</f>
        <v>ヒノデのエリア説明サメ！（仮）</v>
      </c>
      <c r="E53" s="10" t="b">
        <v>0</v>
      </c>
      <c r="F53" s="6" t="str">
        <f>テーブル3[[#This Row],[name]]&amp;"の敵名(仮)"</f>
        <v>ヒノデの敵名(仮)</v>
      </c>
      <c r="G53" s="8">
        <v>51</v>
      </c>
      <c r="H53" s="8">
        <v>-1</v>
      </c>
      <c r="I53" s="8">
        <v>-1</v>
      </c>
      <c r="J53" t="s">
        <v>13</v>
      </c>
      <c r="K53">
        <v>-1</v>
      </c>
      <c r="L53" s="2">
        <v>50</v>
      </c>
      <c r="M53" s="2">
        <v>49</v>
      </c>
      <c r="N53" t="s">
        <v>15</v>
      </c>
    </row>
    <row r="54" spans="1:14">
      <c r="A54" s="7">
        <f t="shared" si="1"/>
        <v>52</v>
      </c>
      <c r="B54" s="7"/>
      <c r="C54" s="9" t="s">
        <v>63</v>
      </c>
      <c r="D54" s="8" t="str">
        <f>テーブル3[[#This Row],[name]]&amp;"のエリア説明サメ！（仮）"</f>
        <v>ヒノハラのエリア説明サメ！（仮）</v>
      </c>
      <c r="E54" s="10" t="b">
        <v>0</v>
      </c>
      <c r="F54" s="6" t="str">
        <f>テーブル3[[#This Row],[name]]&amp;"の敵名(仮)"</f>
        <v>ヒノハラの敵名(仮)</v>
      </c>
      <c r="G54" s="1">
        <v>52</v>
      </c>
      <c r="H54" s="8">
        <v>-1</v>
      </c>
      <c r="I54" s="8">
        <v>-1</v>
      </c>
      <c r="J54" t="s">
        <v>13</v>
      </c>
      <c r="K54">
        <v>-1</v>
      </c>
      <c r="L54" s="2">
        <v>51</v>
      </c>
      <c r="M54" s="2">
        <v>50</v>
      </c>
      <c r="N54" t="s">
        <v>15</v>
      </c>
    </row>
    <row r="55" spans="1:14">
      <c r="A55" s="7">
        <f t="shared" si="1"/>
        <v>53</v>
      </c>
      <c r="B55" s="7"/>
      <c r="C55" s="9" t="s">
        <v>64</v>
      </c>
      <c r="D55" s="8" t="str">
        <f>テーブル3[[#This Row],[name]]&amp;"のエリア説明サメ！（仮）"</f>
        <v>オクタマのエリア説明サメ！（仮）</v>
      </c>
      <c r="E55" s="10" t="b">
        <v>0</v>
      </c>
      <c r="F55" s="6" t="str">
        <f>テーブル3[[#This Row],[name]]&amp;"の敵名(仮)"</f>
        <v>オクタマの敵名(仮)</v>
      </c>
      <c r="G55" s="8">
        <v>53</v>
      </c>
      <c r="H55" s="8">
        <v>-1</v>
      </c>
      <c r="I55" s="8">
        <v>-1</v>
      </c>
      <c r="J55" t="s">
        <v>13</v>
      </c>
      <c r="K55">
        <v>-1</v>
      </c>
      <c r="L55" s="2">
        <v>52</v>
      </c>
      <c r="M55" s="2">
        <v>51</v>
      </c>
      <c r="N55" t="s">
        <v>15</v>
      </c>
    </row>
    <row r="56" spans="1:14">
      <c r="A56" s="7">
        <f t="shared" si="1"/>
        <v>54</v>
      </c>
      <c r="B56" s="7"/>
      <c r="C56" s="9" t="s">
        <v>65</v>
      </c>
      <c r="D56" s="8" t="str">
        <f>テーブル3[[#This Row],[name]]&amp;"のエリア説明サメ！（仮）"</f>
        <v>オオシマのエリア説明サメ！（仮）</v>
      </c>
      <c r="E56" s="10" t="b">
        <v>0</v>
      </c>
      <c r="F56" s="6" t="str">
        <f>テーブル3[[#This Row],[name]]&amp;"の敵名(仮)"</f>
        <v>オオシマの敵名(仮)</v>
      </c>
      <c r="G56" s="1">
        <v>54</v>
      </c>
      <c r="H56" s="8">
        <v>-1</v>
      </c>
      <c r="I56" s="8">
        <v>-1</v>
      </c>
      <c r="J56" t="s">
        <v>13</v>
      </c>
      <c r="K56">
        <v>-1</v>
      </c>
      <c r="L56" s="2">
        <v>53</v>
      </c>
      <c r="M56" s="2">
        <v>52</v>
      </c>
      <c r="N56" t="s">
        <v>15</v>
      </c>
    </row>
    <row r="57" spans="1:14">
      <c r="A57" s="7">
        <f t="shared" si="1"/>
        <v>55</v>
      </c>
      <c r="B57" s="7"/>
      <c r="C57" s="9" t="s">
        <v>66</v>
      </c>
      <c r="D57" s="8" t="str">
        <f>テーブル3[[#This Row],[name]]&amp;"のエリア説明サメ！（仮）"</f>
        <v>トシマムのエリア説明サメ！（仮）</v>
      </c>
      <c r="E57" s="10" t="b">
        <v>0</v>
      </c>
      <c r="F57" s="6" t="str">
        <f>テーブル3[[#This Row],[name]]&amp;"の敵名(仮)"</f>
        <v>トシマムの敵名(仮)</v>
      </c>
      <c r="G57" s="8">
        <v>55</v>
      </c>
      <c r="H57" s="8">
        <v>-1</v>
      </c>
      <c r="I57" s="8">
        <v>-1</v>
      </c>
      <c r="J57" t="s">
        <v>13</v>
      </c>
      <c r="K57">
        <v>-1</v>
      </c>
      <c r="L57" s="2">
        <v>54</v>
      </c>
      <c r="M57" s="2">
        <v>53</v>
      </c>
      <c r="N57" t="s">
        <v>15</v>
      </c>
    </row>
    <row r="58" spans="1:14">
      <c r="A58" s="7">
        <f t="shared" si="1"/>
        <v>56</v>
      </c>
      <c r="B58" s="7"/>
      <c r="C58" s="9" t="s">
        <v>67</v>
      </c>
      <c r="D58" s="8" t="str">
        <f>テーブル3[[#This Row],[name]]&amp;"のエリア説明サメ！（仮）"</f>
        <v>ニイジマのエリア説明サメ！（仮）</v>
      </c>
      <c r="E58" s="10" t="b">
        <v>0</v>
      </c>
      <c r="F58" s="6" t="str">
        <f>テーブル3[[#This Row],[name]]&amp;"の敵名(仮)"</f>
        <v>ニイジマの敵名(仮)</v>
      </c>
      <c r="G58" s="1">
        <v>56</v>
      </c>
      <c r="H58" s="8">
        <v>-1</v>
      </c>
      <c r="I58" s="8">
        <v>-1</v>
      </c>
      <c r="J58" t="s">
        <v>13</v>
      </c>
      <c r="K58">
        <v>-1</v>
      </c>
      <c r="L58" s="2">
        <v>55</v>
      </c>
      <c r="M58" s="2">
        <v>54</v>
      </c>
      <c r="N58" t="s">
        <v>15</v>
      </c>
    </row>
    <row r="59" spans="1:14">
      <c r="A59" s="7">
        <f t="shared" si="1"/>
        <v>57</v>
      </c>
      <c r="B59" s="7"/>
      <c r="C59" s="9" t="s">
        <v>68</v>
      </c>
      <c r="D59" s="8" t="str">
        <f>テーブル3[[#This Row],[name]]&amp;"のエリア説明サメ！（仮）"</f>
        <v>コウヅシマのエリア説明サメ！（仮）</v>
      </c>
      <c r="E59" s="10" t="b">
        <v>0</v>
      </c>
      <c r="F59" s="6" t="str">
        <f>テーブル3[[#This Row],[name]]&amp;"の敵名(仮)"</f>
        <v>コウヅシマの敵名(仮)</v>
      </c>
      <c r="G59" s="8">
        <v>57</v>
      </c>
      <c r="H59" s="8">
        <v>-1</v>
      </c>
      <c r="I59" s="8">
        <v>-1</v>
      </c>
      <c r="J59" t="s">
        <v>13</v>
      </c>
      <c r="K59">
        <v>-1</v>
      </c>
      <c r="L59" s="2">
        <v>56</v>
      </c>
      <c r="M59" s="2">
        <v>55</v>
      </c>
      <c r="N59" t="s">
        <v>15</v>
      </c>
    </row>
    <row r="60" spans="1:14">
      <c r="A60" s="7">
        <f t="shared" si="1"/>
        <v>58</v>
      </c>
      <c r="B60" s="7"/>
      <c r="C60" s="9" t="s">
        <v>69</v>
      </c>
      <c r="D60" s="8" t="str">
        <f>テーブル3[[#This Row],[name]]&amp;"のエリア説明サメ！（仮）"</f>
        <v>ミヤケのエリア説明サメ！（仮）</v>
      </c>
      <c r="E60" s="10" t="b">
        <v>0</v>
      </c>
      <c r="F60" s="6" t="str">
        <f>テーブル3[[#This Row],[name]]&amp;"の敵名(仮)"</f>
        <v>ミヤケの敵名(仮)</v>
      </c>
      <c r="G60" s="1">
        <v>58</v>
      </c>
      <c r="H60" s="8">
        <v>-1</v>
      </c>
      <c r="I60" s="8">
        <v>-1</v>
      </c>
      <c r="J60" t="s">
        <v>13</v>
      </c>
      <c r="K60">
        <v>-1</v>
      </c>
      <c r="L60" s="2">
        <v>57</v>
      </c>
      <c r="M60" s="2">
        <v>56</v>
      </c>
      <c r="N60" t="s">
        <v>15</v>
      </c>
    </row>
    <row r="61" spans="1:14">
      <c r="A61" s="7">
        <f t="shared" si="1"/>
        <v>59</v>
      </c>
      <c r="B61" s="7"/>
      <c r="C61" s="9" t="s">
        <v>70</v>
      </c>
      <c r="D61" s="8" t="str">
        <f>テーブル3[[#This Row],[name]]&amp;"のエリア説明サメ！（仮）"</f>
        <v>ミクラジマのエリア説明サメ！（仮）</v>
      </c>
      <c r="E61" s="10" t="b">
        <v>0</v>
      </c>
      <c r="F61" s="6" t="str">
        <f>テーブル3[[#This Row],[name]]&amp;"の敵名(仮)"</f>
        <v>ミクラジマの敵名(仮)</v>
      </c>
      <c r="G61" s="8">
        <v>59</v>
      </c>
      <c r="H61" s="8">
        <v>-1</v>
      </c>
      <c r="I61" s="8">
        <v>-1</v>
      </c>
      <c r="J61" t="s">
        <v>13</v>
      </c>
      <c r="K61">
        <v>-1</v>
      </c>
      <c r="L61" s="2">
        <v>58</v>
      </c>
      <c r="M61" s="2">
        <v>57</v>
      </c>
      <c r="N61" t="s">
        <v>15</v>
      </c>
    </row>
    <row r="62" spans="1:14">
      <c r="A62" s="7">
        <f t="shared" si="1"/>
        <v>60</v>
      </c>
      <c r="B62" s="7"/>
      <c r="C62" s="9" t="s">
        <v>71</v>
      </c>
      <c r="D62" s="8" t="str">
        <f>テーブル3[[#This Row],[name]]&amp;"のエリア説明サメ！（仮）"</f>
        <v>ハチジョーのエリア説明サメ！（仮）</v>
      </c>
      <c r="E62" s="10" t="b">
        <v>0</v>
      </c>
      <c r="F62" s="6" t="str">
        <f>テーブル3[[#This Row],[name]]&amp;"の敵名(仮)"</f>
        <v>ハチジョーの敵名(仮)</v>
      </c>
      <c r="G62" s="1">
        <v>60</v>
      </c>
      <c r="H62" s="8">
        <v>-1</v>
      </c>
      <c r="I62" s="8">
        <v>-1</v>
      </c>
      <c r="J62" t="s">
        <v>13</v>
      </c>
      <c r="K62">
        <v>-1</v>
      </c>
      <c r="L62" s="2">
        <v>59</v>
      </c>
      <c r="M62" s="2">
        <v>58</v>
      </c>
      <c r="N62" t="s">
        <v>15</v>
      </c>
    </row>
    <row r="63" spans="1:14">
      <c r="A63" s="7">
        <f t="shared" si="1"/>
        <v>61</v>
      </c>
      <c r="B63" s="7"/>
      <c r="C63" s="9" t="s">
        <v>77</v>
      </c>
      <c r="D63" s="8" t="str">
        <f>テーブル3[[#This Row],[name]]&amp;"のエリア説明サメ！（仮）"</f>
        <v>アオガシマのエリア説明サメ！（仮）</v>
      </c>
      <c r="E63" s="10" t="b">
        <v>0</v>
      </c>
      <c r="F63" s="6" t="str">
        <f>テーブル3[[#This Row],[name]]&amp;"の敵名(仮)"</f>
        <v>アオガシマの敵名(仮)</v>
      </c>
      <c r="G63" s="8">
        <v>61</v>
      </c>
      <c r="H63" s="8">
        <v>-1</v>
      </c>
      <c r="I63" s="8">
        <v>-1</v>
      </c>
      <c r="J63" t="s">
        <v>13</v>
      </c>
      <c r="K63">
        <v>-1</v>
      </c>
      <c r="L63" s="2">
        <v>60</v>
      </c>
      <c r="M63" s="2">
        <v>59</v>
      </c>
      <c r="N63" t="s">
        <v>15</v>
      </c>
    </row>
    <row r="64" spans="1:14">
      <c r="A64" s="7">
        <f t="shared" si="1"/>
        <v>62</v>
      </c>
      <c r="B64" s="7"/>
      <c r="C64" s="9" t="s">
        <v>72</v>
      </c>
      <c r="D64" s="8" t="str">
        <f>テーブル3[[#This Row],[name]]&amp;"のエリア説明サメ！（仮）"</f>
        <v>オガサワラのエリア説明サメ！（仮）</v>
      </c>
      <c r="E64" s="10" t="b">
        <v>0</v>
      </c>
      <c r="F64" s="6" t="str">
        <f>テーブル3[[#This Row],[name]]&amp;"の敵名(仮)"</f>
        <v>オガサワラの敵名(仮)</v>
      </c>
      <c r="G64" s="1">
        <v>62</v>
      </c>
      <c r="H64" s="8">
        <v>-1</v>
      </c>
      <c r="I64" s="8">
        <v>-1</v>
      </c>
      <c r="J64" t="s">
        <v>13</v>
      </c>
      <c r="K64">
        <v>-1</v>
      </c>
      <c r="L64" s="2">
        <v>61</v>
      </c>
      <c r="M64" s="2">
        <v>60</v>
      </c>
      <c r="N64" t="s">
        <v>15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Ryohei</dc:creator>
  <cp:keywords/>
  <dc:description/>
  <cp:lastModifiedBy>涼平 島村</cp:lastModifiedBy>
  <cp:revision/>
  <dcterms:created xsi:type="dcterms:W3CDTF">2015-06-05T18:19:34Z</dcterms:created>
  <dcterms:modified xsi:type="dcterms:W3CDTF">2025-01-22T09:00:48Z</dcterms:modified>
  <cp:category/>
  <cp:contentStatus/>
</cp:coreProperties>
</file>